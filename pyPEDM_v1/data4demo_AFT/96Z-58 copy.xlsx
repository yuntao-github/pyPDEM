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sung X5/iMac202408/MACandPC/Projects/Psudo_EDM_method/data4demo/"/>
    </mc:Choice>
  </mc:AlternateContent>
  <xr:revisionPtr revIDLastSave="0" documentId="13_ncr:1_{16A8D1F0-7E2C-284A-85C5-CF249186E4B5}" xr6:coauthVersionLast="47" xr6:coauthVersionMax="47" xr10:uidLastSave="{00000000-0000-0000-0000-000000000000}"/>
  <bookViews>
    <workbookView xWindow="5360" yWindow="12320" windowWidth="42440" windowHeight="21520" xr2:uid="{144C3A3D-43BE-DC4C-BC2F-814E4ABDEF35}"/>
  </bookViews>
  <sheets>
    <sheet name="96Z-58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" i="1"/>
  <c r="H22" i="1"/>
  <c r="E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3" i="1"/>
  <c r="F4" i="1"/>
  <c r="F5" i="1"/>
  <c r="D24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C24" i="1"/>
  <c r="B24" i="1"/>
  <c r="O2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  <c r="J2" i="1"/>
  <c r="J3" i="1"/>
  <c r="J4" i="1"/>
  <c r="K4" i="1" s="1"/>
  <c r="J5" i="1"/>
  <c r="J6" i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J19" i="1"/>
  <c r="J20" i="1"/>
  <c r="J21" i="1"/>
  <c r="K21" i="1" s="1"/>
  <c r="J22" i="1"/>
  <c r="K22" i="1" s="1"/>
  <c r="K2" i="1"/>
  <c r="K3" i="1"/>
  <c r="K5" i="1"/>
  <c r="K6" i="1"/>
  <c r="K18" i="1"/>
  <c r="K19" i="1"/>
  <c r="K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M24" i="1" l="1"/>
  <c r="O24" i="1" l="1"/>
</calcChain>
</file>

<file path=xl/sharedStrings.xml><?xml version="1.0" encoding="utf-8"?>
<sst xmlns="http://schemas.openxmlformats.org/spreadsheetml/2006/main" count="15" uniqueCount="15">
  <si>
    <t>GrainID</t>
  </si>
  <si>
    <t>Ns</t>
  </si>
  <si>
    <t>A</t>
  </si>
  <si>
    <t>age</t>
  </si>
  <si>
    <t>U</t>
  </si>
  <si>
    <t>Uerr</t>
  </si>
  <si>
    <t>Ni</t>
  </si>
  <si>
    <t>RSD</t>
  </si>
  <si>
    <t>1SD_eq5</t>
  </si>
  <si>
    <t>1SD_modified_eq5</t>
  </si>
  <si>
    <t>pooled_U</t>
  </si>
  <si>
    <t>pooled_Uerr</t>
  </si>
  <si>
    <t>wu1</t>
  </si>
  <si>
    <t>wu2</t>
  </si>
  <si>
    <t>w2/w1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</si>
</sst>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92527719749317"/>
          <c:y val="6.2708151064450282E-2"/>
          <c:w val="0.79714623172103483"/>
          <c:h val="0.6548538203557888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copy'!$L$2:$L$22</c:f>
              <c:numCache>
                <c:formatCode>General</c:formatCode>
                <c:ptCount val="21"/>
                <c:pt idx="0">
                  <c:v>150</c:v>
                </c:pt>
                <c:pt idx="1">
                  <c:v>106</c:v>
                </c:pt>
                <c:pt idx="2">
                  <c:v>104</c:v>
                </c:pt>
                <c:pt idx="3">
                  <c:v>113</c:v>
                </c:pt>
                <c:pt idx="4">
                  <c:v>243</c:v>
                </c:pt>
                <c:pt idx="5">
                  <c:v>200</c:v>
                </c:pt>
                <c:pt idx="6">
                  <c:v>96</c:v>
                </c:pt>
                <c:pt idx="7">
                  <c:v>126</c:v>
                </c:pt>
                <c:pt idx="8">
                  <c:v>142</c:v>
                </c:pt>
                <c:pt idx="9">
                  <c:v>115</c:v>
                </c:pt>
                <c:pt idx="10">
                  <c:v>185</c:v>
                </c:pt>
                <c:pt idx="11">
                  <c:v>150</c:v>
                </c:pt>
                <c:pt idx="12">
                  <c:v>315</c:v>
                </c:pt>
                <c:pt idx="13">
                  <c:v>172</c:v>
                </c:pt>
                <c:pt idx="14">
                  <c:v>88</c:v>
                </c:pt>
                <c:pt idx="15">
                  <c:v>133</c:v>
                </c:pt>
                <c:pt idx="16">
                  <c:v>91</c:v>
                </c:pt>
                <c:pt idx="17">
                  <c:v>210</c:v>
                </c:pt>
                <c:pt idx="18">
                  <c:v>117</c:v>
                </c:pt>
                <c:pt idx="19">
                  <c:v>248</c:v>
                </c:pt>
                <c:pt idx="20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2-8648-A876-F2DD5CD62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206143"/>
        <c:axId val="910211071"/>
      </c:scatterChart>
      <c:valAx>
        <c:axId val="91020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U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10211071"/>
        <c:crosses val="autoZero"/>
        <c:crossBetween val="midCat"/>
      </c:valAx>
      <c:valAx>
        <c:axId val="910211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Single</a:t>
                </a:r>
                <a:r>
                  <a:rPr lang="en-US" sz="1600" baseline="0"/>
                  <a:t> grain age (Ma)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2.6530612244897958E-2"/>
              <c:y val="6.27081510644502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1020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copy'!$K$2:$K$22</c:f>
              <c:numCache>
                <c:formatCode>General</c:formatCode>
                <c:ptCount val="21"/>
                <c:pt idx="0">
                  <c:v>33.333333333333329</c:v>
                </c:pt>
                <c:pt idx="1">
                  <c:v>21.320071635561046</c:v>
                </c:pt>
                <c:pt idx="2">
                  <c:v>16.439898730535731</c:v>
                </c:pt>
                <c:pt idx="3">
                  <c:v>16.439898730535731</c:v>
                </c:pt>
                <c:pt idx="4">
                  <c:v>19.245008972987527</c:v>
                </c:pt>
                <c:pt idx="5">
                  <c:v>20.412414523193153</c:v>
                </c:pt>
                <c:pt idx="6">
                  <c:v>21.821789023599234</c:v>
                </c:pt>
                <c:pt idx="7">
                  <c:v>20</c:v>
                </c:pt>
                <c:pt idx="8">
                  <c:v>19.245008972987527</c:v>
                </c:pt>
                <c:pt idx="9">
                  <c:v>25</c:v>
                </c:pt>
                <c:pt idx="10">
                  <c:v>17.677669529663689</c:v>
                </c:pt>
                <c:pt idx="11">
                  <c:v>28.867513459481287</c:v>
                </c:pt>
                <c:pt idx="12">
                  <c:v>37.796447300922722</c:v>
                </c:pt>
                <c:pt idx="13">
                  <c:v>37.796447300922722</c:v>
                </c:pt>
                <c:pt idx="14">
                  <c:v>17.677669529663689</c:v>
                </c:pt>
                <c:pt idx="15">
                  <c:v>20</c:v>
                </c:pt>
                <c:pt idx="16">
                  <c:v>33.333333333333336</c:v>
                </c:pt>
                <c:pt idx="17">
                  <c:v>30.151134457776362</c:v>
                </c:pt>
                <c:pt idx="18">
                  <c:v>11.785113019775791</c:v>
                </c:pt>
                <c:pt idx="19">
                  <c:v>18.569533817705185</c:v>
                </c:pt>
                <c:pt idx="20">
                  <c:v>14.142135623730951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F8-ED4A-9EC8-6F31978020A3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copy'!$H$2:$H$22</c:f>
              <c:numCache>
                <c:formatCode>General</c:formatCode>
                <c:ptCount val="21"/>
                <c:pt idx="0">
                  <c:v>8.1325301204819276</c:v>
                </c:pt>
                <c:pt idx="1">
                  <c:v>6.1654135338345863</c:v>
                </c:pt>
                <c:pt idx="2">
                  <c:v>5.1239669421487601</c:v>
                </c:pt>
                <c:pt idx="3">
                  <c:v>5.3351573187414507</c:v>
                </c:pt>
                <c:pt idx="4">
                  <c:v>6.2166962699822381</c:v>
                </c:pt>
                <c:pt idx="5">
                  <c:v>5.9670781893004108</c:v>
                </c:pt>
                <c:pt idx="6">
                  <c:v>5.4726368159203984</c:v>
                </c:pt>
                <c:pt idx="7">
                  <c:v>7.9545454545454559</c:v>
                </c:pt>
                <c:pt idx="8">
                  <c:v>5.5681818181818175</c:v>
                </c:pt>
                <c:pt idx="9">
                  <c:v>7.1815718157181569</c:v>
                </c:pt>
                <c:pt idx="10">
                  <c:v>6.0080106809078773</c:v>
                </c:pt>
                <c:pt idx="11">
                  <c:v>6.0416666666666661</c:v>
                </c:pt>
                <c:pt idx="12">
                  <c:v>20.618556701030926</c:v>
                </c:pt>
                <c:pt idx="13">
                  <c:v>11.111111111111111</c:v>
                </c:pt>
                <c:pt idx="14">
                  <c:v>7.2154471544715451</c:v>
                </c:pt>
                <c:pt idx="15">
                  <c:v>6.6772655007949124</c:v>
                </c:pt>
                <c:pt idx="16">
                  <c:v>5.0847457627118642</c:v>
                </c:pt>
                <c:pt idx="17">
                  <c:v>7.3426573426573434</c:v>
                </c:pt>
                <c:pt idx="18">
                  <c:v>7.0754716981132075</c:v>
                </c:pt>
                <c:pt idx="19">
                  <c:v>5.7991513437057991</c:v>
                </c:pt>
                <c:pt idx="20">
                  <c:v>5.355404089581306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8-ED4A-9EC8-6F319780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U</a:t>
                </a:r>
                <a:r>
                  <a:rPr lang="en-US" sz="1400" baseline="0"/>
                  <a:t> (ppm)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Relative uncertainty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49285153555201"/>
          <c:y val="5.0925925925925923E-2"/>
          <c:w val="0.76239027523372271"/>
          <c:h val="0.78476409960950022"/>
        </c:manualLayout>
      </c:layout>
      <c:scatterChart>
        <c:scatterStyle val="lineMarker"/>
        <c:varyColors val="0"/>
        <c:ser>
          <c:idx val="1"/>
          <c:order val="0"/>
          <c:tx>
            <c:v>U uncertainty = U*sqrt(1/(pseudo Ni))</c:v>
          </c:tx>
          <c:spPr>
            <a:ln w="19050">
              <a:noFill/>
            </a:ln>
          </c:spPr>
          <c:dLbls>
            <c:delete val="1"/>
          </c:dLbls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copy'!$R$2:$R$22</c:f>
              <c:numCache>
                <c:formatCode>General</c:formatCode>
                <c:ptCount val="21"/>
                <c:pt idx="0">
                  <c:v>1.973449E-2</c:v>
                </c:pt>
                <c:pt idx="1">
                  <c:v>3.7243999999999999E-2</c:v>
                </c:pt>
                <c:pt idx="2">
                  <c:v>5.828038E-2</c:v>
                </c:pt>
                <c:pt idx="3">
                  <c:v>6.0546790000000003E-2</c:v>
                </c:pt>
                <c:pt idx="4">
                  <c:v>6.966841E-2</c:v>
                </c:pt>
                <c:pt idx="5">
                  <c:v>5.7965559999999999E-2</c:v>
                </c:pt>
                <c:pt idx="6">
                  <c:v>3.410113E-2</c:v>
                </c:pt>
                <c:pt idx="7">
                  <c:v>4.602506E-2</c:v>
                </c:pt>
                <c:pt idx="8">
                  <c:v>5.34718E-2</c:v>
                </c:pt>
                <c:pt idx="9">
                  <c:v>2.9094269999999998E-2</c:v>
                </c:pt>
                <c:pt idx="10">
                  <c:v>7.0249549999999994E-2</c:v>
                </c:pt>
                <c:pt idx="11">
                  <c:v>2.6608179999999999E-2</c:v>
                </c:pt>
                <c:pt idx="12">
                  <c:v>2.3886709999999998E-2</c:v>
                </c:pt>
                <c:pt idx="13">
                  <c:v>1.799653E-2</c:v>
                </c:pt>
                <c:pt idx="14">
                  <c:v>4.64117E-2</c:v>
                </c:pt>
                <c:pt idx="15">
                  <c:v>4.8217929999999999E-2</c:v>
                </c:pt>
                <c:pt idx="16">
                  <c:v>1.4039889999999999E-2</c:v>
                </c:pt>
                <c:pt idx="17">
                  <c:v>2.9536300000000001E-2</c:v>
                </c:pt>
                <c:pt idx="18">
                  <c:v>0.10495517</c:v>
                </c:pt>
                <c:pt idx="19">
                  <c:v>7.3874380000000003E-2</c:v>
                </c:pt>
                <c:pt idx="20">
                  <c:v>7.8091750000000001E-2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E-D840-A90C-6DBEBA3F32D2}"/>
            </c:ext>
          </c:extLst>
        </c:ser>
        <c:ser>
          <c:idx val="0"/>
          <c:order val="1"/>
          <c:tx>
            <c:v>measured U uncertainty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copy'!$Q$2:$Q$22</c:f>
              <c:numCache>
                <c:formatCode>General</c:formatCode>
                <c:ptCount val="21"/>
                <c:pt idx="0">
                  <c:v>2.521845E-2</c:v>
                </c:pt>
                <c:pt idx="1">
                  <c:v>3.9343459999999997E-2</c:v>
                </c:pt>
                <c:pt idx="2">
                  <c:v>5.4541029999999997E-2</c:v>
                </c:pt>
                <c:pt idx="3">
                  <c:v>5.6426240000000003E-2</c:v>
                </c:pt>
                <c:pt idx="4">
                  <c:v>7.0679069999999997E-2</c:v>
                </c:pt>
                <c:pt idx="5">
                  <c:v>6.1345579999999997E-2</c:v>
                </c:pt>
                <c:pt idx="6">
                  <c:v>3.6432239999999998E-2</c:v>
                </c:pt>
                <c:pt idx="7">
                  <c:v>4.6518169999999998E-2</c:v>
                </c:pt>
                <c:pt idx="8">
                  <c:v>5.4322570000000001E-2</c:v>
                </c:pt>
                <c:pt idx="9">
                  <c:v>3.272659E-2</c:v>
                </c:pt>
                <c:pt idx="10">
                  <c:v>6.7169619999999999E-2</c:v>
                </c:pt>
                <c:pt idx="11">
                  <c:v>3.2979149999999999E-2</c:v>
                </c:pt>
                <c:pt idx="12">
                  <c:v>3.1819809999999997E-2</c:v>
                </c:pt>
                <c:pt idx="13">
                  <c:v>2.4664950000000001E-2</c:v>
                </c:pt>
                <c:pt idx="14">
                  <c:v>4.4446380000000001E-2</c:v>
                </c:pt>
                <c:pt idx="15">
                  <c:v>4.9476369999999999E-2</c:v>
                </c:pt>
                <c:pt idx="16">
                  <c:v>1.6742670000000001E-2</c:v>
                </c:pt>
                <c:pt idx="17">
                  <c:v>3.8964989999999998E-2</c:v>
                </c:pt>
                <c:pt idx="18">
                  <c:v>7.6574980000000001E-2</c:v>
                </c:pt>
                <c:pt idx="19">
                  <c:v>7.3291910000000002E-2</c:v>
                </c:pt>
                <c:pt idx="20">
                  <c:v>6.6315780000000005E-2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E-D840-A90C-6DBEBA3F32D2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U (ppm)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wu in central age calculation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549944096867042"/>
          <c:y val="7.1701235516292178E-2"/>
          <c:w val="0.54166067987725097"/>
          <c:h val="0.11007032774749312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en-CN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'96Z-58 copy'!$D$2:$D$22</c:f>
              <c:numCache>
                <c:formatCode>General</c:formatCode>
                <c:ptCount val="21"/>
                <c:pt idx="0">
                  <c:v>3.32</c:v>
                </c:pt>
                <c:pt idx="1">
                  <c:v>6.65</c:v>
                </c:pt>
                <c:pt idx="2">
                  <c:v>6.05</c:v>
                </c:pt>
                <c:pt idx="3">
                  <c:v>7.31</c:v>
                </c:pt>
                <c:pt idx="4">
                  <c:v>5.63</c:v>
                </c:pt>
                <c:pt idx="5">
                  <c:v>4.8600000000000003</c:v>
                </c:pt>
                <c:pt idx="6">
                  <c:v>4.0199999999999996</c:v>
                </c:pt>
                <c:pt idx="7">
                  <c:v>7.04</c:v>
                </c:pt>
                <c:pt idx="8">
                  <c:v>8.8000000000000007</c:v>
                </c:pt>
                <c:pt idx="9">
                  <c:v>7.38</c:v>
                </c:pt>
                <c:pt idx="10">
                  <c:v>7.49</c:v>
                </c:pt>
                <c:pt idx="11">
                  <c:v>4.8</c:v>
                </c:pt>
                <c:pt idx="12">
                  <c:v>2.91</c:v>
                </c:pt>
                <c:pt idx="13">
                  <c:v>2.97</c:v>
                </c:pt>
                <c:pt idx="14">
                  <c:v>9.84</c:v>
                </c:pt>
                <c:pt idx="15">
                  <c:v>6.29</c:v>
                </c:pt>
                <c:pt idx="16">
                  <c:v>3.54</c:v>
                </c:pt>
                <c:pt idx="17">
                  <c:v>2.86</c:v>
                </c:pt>
                <c:pt idx="18">
                  <c:v>21.2</c:v>
                </c:pt>
                <c:pt idx="19">
                  <c:v>7.07</c:v>
                </c:pt>
                <c:pt idx="20">
                  <c:v>10.27</c:v>
                </c:pt>
              </c:numCache>
            </c:numRef>
          </c:xVal>
          <c:yVal>
            <c:numRef>
              <c:f>'96Z-58 copy'!$T$2:$T$22</c:f>
              <c:numCache>
                <c:formatCode>General</c:formatCode>
                <c:ptCount val="21"/>
                <c:pt idx="0">
                  <c:v>0.78254175018686722</c:v>
                </c:pt>
                <c:pt idx="1">
                  <c:v>0.94663763685247826</c:v>
                </c:pt>
                <c:pt idx="2">
                  <c:v>1.068560311383925</c:v>
                </c:pt>
                <c:pt idx="3">
                  <c:v>1.0730254222149127</c:v>
                </c:pt>
                <c:pt idx="4">
                  <c:v>0.98570071734107434</c:v>
                </c:pt>
                <c:pt idx="5">
                  <c:v>0.94490197989814428</c:v>
                </c:pt>
                <c:pt idx="6">
                  <c:v>0.93601518874491396</c:v>
                </c:pt>
                <c:pt idx="7">
                  <c:v>0.9893996259956056</c:v>
                </c:pt>
                <c:pt idx="8">
                  <c:v>0.98433855393807768</c:v>
                </c:pt>
                <c:pt idx="9">
                  <c:v>0.88901012907241472</c:v>
                </c:pt>
                <c:pt idx="10">
                  <c:v>1.0458530210532677</c:v>
                </c:pt>
                <c:pt idx="11">
                  <c:v>0.80681824728654317</c:v>
                </c:pt>
                <c:pt idx="12">
                  <c:v>0.75068675771476956</c:v>
                </c:pt>
                <c:pt idx="13">
                  <c:v>0.72963983304243463</c:v>
                </c:pt>
                <c:pt idx="14">
                  <c:v>1.0442177743159284</c:v>
                </c:pt>
                <c:pt idx="15">
                  <c:v>0.97456482761366692</c:v>
                </c:pt>
                <c:pt idx="16">
                  <c:v>0.83856935602266536</c:v>
                </c:pt>
                <c:pt idx="17">
                  <c:v>0.75802149570678712</c:v>
                </c:pt>
                <c:pt idx="18">
                  <c:v>1.3706196201422449</c:v>
                </c:pt>
                <c:pt idx="19">
                  <c:v>1.0079472618464984</c:v>
                </c:pt>
                <c:pt idx="20">
                  <c:v>1.1775741761613903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C-7246-83C9-2821FB5AC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U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wu2/wu1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49285153555201"/>
          <c:y val="5.0925925925925923E-2"/>
          <c:w val="0.76239027523372271"/>
          <c:h val="0.78476409960950022"/>
        </c:manualLayout>
      </c:layout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dLbls>
            <c:delete val="1"/>
          </c:dLbls>
          <c:xVal>
            <c:numRef>
              <c:f>'96Z-58 copy'!$L$2:$L$22</c:f>
              <c:numCache>
                <c:formatCode>General</c:formatCode>
                <c:ptCount val="21"/>
                <c:pt idx="0">
                  <c:v>150</c:v>
                </c:pt>
                <c:pt idx="1">
                  <c:v>106</c:v>
                </c:pt>
                <c:pt idx="2">
                  <c:v>104</c:v>
                </c:pt>
                <c:pt idx="3">
                  <c:v>113</c:v>
                </c:pt>
                <c:pt idx="4">
                  <c:v>243</c:v>
                </c:pt>
                <c:pt idx="5">
                  <c:v>200</c:v>
                </c:pt>
                <c:pt idx="6">
                  <c:v>96</c:v>
                </c:pt>
                <c:pt idx="7">
                  <c:v>126</c:v>
                </c:pt>
                <c:pt idx="8">
                  <c:v>142</c:v>
                </c:pt>
                <c:pt idx="9">
                  <c:v>115</c:v>
                </c:pt>
                <c:pt idx="10">
                  <c:v>185</c:v>
                </c:pt>
                <c:pt idx="11">
                  <c:v>150</c:v>
                </c:pt>
                <c:pt idx="12">
                  <c:v>315</c:v>
                </c:pt>
                <c:pt idx="13">
                  <c:v>172</c:v>
                </c:pt>
                <c:pt idx="14">
                  <c:v>88</c:v>
                </c:pt>
                <c:pt idx="15">
                  <c:v>133</c:v>
                </c:pt>
                <c:pt idx="16">
                  <c:v>91</c:v>
                </c:pt>
                <c:pt idx="17">
                  <c:v>210</c:v>
                </c:pt>
                <c:pt idx="18">
                  <c:v>117</c:v>
                </c:pt>
                <c:pt idx="19">
                  <c:v>248</c:v>
                </c:pt>
                <c:pt idx="20">
                  <c:v>113</c:v>
                </c:pt>
              </c:numCache>
            </c:numRef>
          </c:xVal>
          <c:yVal>
            <c:numRef>
              <c:f>'96Z-58 copy'!$R$2:$R$22</c:f>
              <c:numCache>
                <c:formatCode>General</c:formatCode>
                <c:ptCount val="21"/>
                <c:pt idx="0">
                  <c:v>1.973449E-2</c:v>
                </c:pt>
                <c:pt idx="1">
                  <c:v>3.7243999999999999E-2</c:v>
                </c:pt>
                <c:pt idx="2">
                  <c:v>5.828038E-2</c:v>
                </c:pt>
                <c:pt idx="3">
                  <c:v>6.0546790000000003E-2</c:v>
                </c:pt>
                <c:pt idx="4">
                  <c:v>6.966841E-2</c:v>
                </c:pt>
                <c:pt idx="5">
                  <c:v>5.7965559999999999E-2</c:v>
                </c:pt>
                <c:pt idx="6">
                  <c:v>3.410113E-2</c:v>
                </c:pt>
                <c:pt idx="7">
                  <c:v>4.602506E-2</c:v>
                </c:pt>
                <c:pt idx="8">
                  <c:v>5.34718E-2</c:v>
                </c:pt>
                <c:pt idx="9">
                  <c:v>2.9094269999999998E-2</c:v>
                </c:pt>
                <c:pt idx="10">
                  <c:v>7.0249549999999994E-2</c:v>
                </c:pt>
                <c:pt idx="11">
                  <c:v>2.6608179999999999E-2</c:v>
                </c:pt>
                <c:pt idx="12">
                  <c:v>2.3886709999999998E-2</c:v>
                </c:pt>
                <c:pt idx="13">
                  <c:v>1.799653E-2</c:v>
                </c:pt>
                <c:pt idx="14">
                  <c:v>4.64117E-2</c:v>
                </c:pt>
                <c:pt idx="15">
                  <c:v>4.8217929999999999E-2</c:v>
                </c:pt>
                <c:pt idx="16">
                  <c:v>1.4039889999999999E-2</c:v>
                </c:pt>
                <c:pt idx="17">
                  <c:v>2.9536300000000001E-2</c:v>
                </c:pt>
                <c:pt idx="18">
                  <c:v>0.10495517</c:v>
                </c:pt>
                <c:pt idx="19">
                  <c:v>7.3874380000000003E-2</c:v>
                </c:pt>
                <c:pt idx="20">
                  <c:v>7.8091750000000001E-2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B-F147-807B-53B15B6B2639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'96Z-58 copy'!$L$2:$L$22</c:f>
              <c:numCache>
                <c:formatCode>General</c:formatCode>
                <c:ptCount val="21"/>
                <c:pt idx="0">
                  <c:v>150</c:v>
                </c:pt>
                <c:pt idx="1">
                  <c:v>106</c:v>
                </c:pt>
                <c:pt idx="2">
                  <c:v>104</c:v>
                </c:pt>
                <c:pt idx="3">
                  <c:v>113</c:v>
                </c:pt>
                <c:pt idx="4">
                  <c:v>243</c:v>
                </c:pt>
                <c:pt idx="5">
                  <c:v>200</c:v>
                </c:pt>
                <c:pt idx="6">
                  <c:v>96</c:v>
                </c:pt>
                <c:pt idx="7">
                  <c:v>126</c:v>
                </c:pt>
                <c:pt idx="8">
                  <c:v>142</c:v>
                </c:pt>
                <c:pt idx="9">
                  <c:v>115</c:v>
                </c:pt>
                <c:pt idx="10">
                  <c:v>185</c:v>
                </c:pt>
                <c:pt idx="11">
                  <c:v>150</c:v>
                </c:pt>
                <c:pt idx="12">
                  <c:v>315</c:v>
                </c:pt>
                <c:pt idx="13">
                  <c:v>172</c:v>
                </c:pt>
                <c:pt idx="14">
                  <c:v>88</c:v>
                </c:pt>
                <c:pt idx="15">
                  <c:v>133</c:v>
                </c:pt>
                <c:pt idx="16">
                  <c:v>91</c:v>
                </c:pt>
                <c:pt idx="17">
                  <c:v>210</c:v>
                </c:pt>
                <c:pt idx="18">
                  <c:v>117</c:v>
                </c:pt>
                <c:pt idx="19">
                  <c:v>248</c:v>
                </c:pt>
                <c:pt idx="20">
                  <c:v>113</c:v>
                </c:pt>
              </c:numCache>
            </c:numRef>
          </c:xVal>
          <c:yVal>
            <c:numRef>
              <c:f>'96Z-58 copy'!$Q$2:$Q$22</c:f>
              <c:numCache>
                <c:formatCode>General</c:formatCode>
                <c:ptCount val="21"/>
                <c:pt idx="0">
                  <c:v>2.521845E-2</c:v>
                </c:pt>
                <c:pt idx="1">
                  <c:v>3.9343459999999997E-2</c:v>
                </c:pt>
                <c:pt idx="2">
                  <c:v>5.4541029999999997E-2</c:v>
                </c:pt>
                <c:pt idx="3">
                  <c:v>5.6426240000000003E-2</c:v>
                </c:pt>
                <c:pt idx="4">
                  <c:v>7.0679069999999997E-2</c:v>
                </c:pt>
                <c:pt idx="5">
                  <c:v>6.1345579999999997E-2</c:v>
                </c:pt>
                <c:pt idx="6">
                  <c:v>3.6432239999999998E-2</c:v>
                </c:pt>
                <c:pt idx="7">
                  <c:v>4.6518169999999998E-2</c:v>
                </c:pt>
                <c:pt idx="8">
                  <c:v>5.4322570000000001E-2</c:v>
                </c:pt>
                <c:pt idx="9">
                  <c:v>3.272659E-2</c:v>
                </c:pt>
                <c:pt idx="10">
                  <c:v>6.7169619999999999E-2</c:v>
                </c:pt>
                <c:pt idx="11">
                  <c:v>3.2979149999999999E-2</c:v>
                </c:pt>
                <c:pt idx="12">
                  <c:v>3.1819809999999997E-2</c:v>
                </c:pt>
                <c:pt idx="13">
                  <c:v>2.4664950000000001E-2</c:v>
                </c:pt>
                <c:pt idx="14">
                  <c:v>4.4446380000000001E-2</c:v>
                </c:pt>
                <c:pt idx="15">
                  <c:v>4.9476369999999999E-2</c:v>
                </c:pt>
                <c:pt idx="16">
                  <c:v>1.6742670000000001E-2</c:v>
                </c:pt>
                <c:pt idx="17">
                  <c:v>3.8964989999999998E-2</c:v>
                </c:pt>
                <c:pt idx="18">
                  <c:v>7.6574980000000001E-2</c:v>
                </c:pt>
                <c:pt idx="19">
                  <c:v>7.3291910000000002E-2</c:v>
                </c:pt>
                <c:pt idx="20">
                  <c:v>6.6315780000000005E-2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B-F147-807B-53B15B6B2639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wu in central age calculation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49285153555201"/>
          <c:y val="5.0925925925925923E-2"/>
          <c:w val="0.76239027523372271"/>
          <c:h val="0.78476409960950022"/>
        </c:manualLayout>
      </c:layout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dLbls>
            <c:delete val="1"/>
          </c:dLbls>
          <c:xVal>
            <c:numRef>
              <c:f>'96Z-58 copy'!$B$2:$B$22</c:f>
              <c:numCache>
                <c:formatCode>General</c:formatCode>
                <c:ptCount val="21"/>
                <c:pt idx="0">
                  <c:v>5</c:v>
                </c:pt>
                <c:pt idx="1">
                  <c:v>9</c:v>
                </c:pt>
                <c:pt idx="2">
                  <c:v>15</c:v>
                </c:pt>
                <c:pt idx="3">
                  <c:v>16</c:v>
                </c:pt>
                <c:pt idx="4">
                  <c:v>26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7</c:v>
                </c:pt>
                <c:pt idx="10">
                  <c:v>23</c:v>
                </c:pt>
                <c:pt idx="11">
                  <c:v>7</c:v>
                </c:pt>
                <c:pt idx="12">
                  <c:v>9</c:v>
                </c:pt>
                <c:pt idx="13">
                  <c:v>5</c:v>
                </c:pt>
                <c:pt idx="14">
                  <c:v>11</c:v>
                </c:pt>
                <c:pt idx="15">
                  <c:v>13</c:v>
                </c:pt>
                <c:pt idx="16">
                  <c:v>3</c:v>
                </c:pt>
                <c:pt idx="17">
                  <c:v>9</c:v>
                </c:pt>
                <c:pt idx="18">
                  <c:v>33</c:v>
                </c:pt>
                <c:pt idx="19">
                  <c:v>28</c:v>
                </c:pt>
                <c:pt idx="20">
                  <c:v>22</c:v>
                </c:pt>
              </c:numCache>
            </c:numRef>
          </c:xVal>
          <c:yVal>
            <c:numRef>
              <c:f>'96Z-58 copy'!$R$2:$R$22</c:f>
              <c:numCache>
                <c:formatCode>General</c:formatCode>
                <c:ptCount val="21"/>
                <c:pt idx="0">
                  <c:v>1.973449E-2</c:v>
                </c:pt>
                <c:pt idx="1">
                  <c:v>3.7243999999999999E-2</c:v>
                </c:pt>
                <c:pt idx="2">
                  <c:v>5.828038E-2</c:v>
                </c:pt>
                <c:pt idx="3">
                  <c:v>6.0546790000000003E-2</c:v>
                </c:pt>
                <c:pt idx="4">
                  <c:v>6.966841E-2</c:v>
                </c:pt>
                <c:pt idx="5">
                  <c:v>5.7965559999999999E-2</c:v>
                </c:pt>
                <c:pt idx="6">
                  <c:v>3.410113E-2</c:v>
                </c:pt>
                <c:pt idx="7">
                  <c:v>4.602506E-2</c:v>
                </c:pt>
                <c:pt idx="8">
                  <c:v>5.34718E-2</c:v>
                </c:pt>
                <c:pt idx="9">
                  <c:v>2.9094269999999998E-2</c:v>
                </c:pt>
                <c:pt idx="10">
                  <c:v>7.0249549999999994E-2</c:v>
                </c:pt>
                <c:pt idx="11">
                  <c:v>2.6608179999999999E-2</c:v>
                </c:pt>
                <c:pt idx="12">
                  <c:v>2.3886709999999998E-2</c:v>
                </c:pt>
                <c:pt idx="13">
                  <c:v>1.799653E-2</c:v>
                </c:pt>
                <c:pt idx="14">
                  <c:v>4.64117E-2</c:v>
                </c:pt>
                <c:pt idx="15">
                  <c:v>4.8217929999999999E-2</c:v>
                </c:pt>
                <c:pt idx="16">
                  <c:v>1.4039889999999999E-2</c:v>
                </c:pt>
                <c:pt idx="17">
                  <c:v>2.9536300000000001E-2</c:v>
                </c:pt>
                <c:pt idx="18">
                  <c:v>0.10495517</c:v>
                </c:pt>
                <c:pt idx="19">
                  <c:v>7.3874380000000003E-2</c:v>
                </c:pt>
                <c:pt idx="20">
                  <c:v>7.8091750000000001E-2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7-3C42-B5AC-0CD3DA1CCC2F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'96Z-58 copy'!$B$2:$B$22</c:f>
              <c:numCache>
                <c:formatCode>General</c:formatCode>
                <c:ptCount val="21"/>
                <c:pt idx="0">
                  <c:v>5</c:v>
                </c:pt>
                <c:pt idx="1">
                  <c:v>9</c:v>
                </c:pt>
                <c:pt idx="2">
                  <c:v>15</c:v>
                </c:pt>
                <c:pt idx="3">
                  <c:v>16</c:v>
                </c:pt>
                <c:pt idx="4">
                  <c:v>26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7</c:v>
                </c:pt>
                <c:pt idx="10">
                  <c:v>23</c:v>
                </c:pt>
                <c:pt idx="11">
                  <c:v>7</c:v>
                </c:pt>
                <c:pt idx="12">
                  <c:v>9</c:v>
                </c:pt>
                <c:pt idx="13">
                  <c:v>5</c:v>
                </c:pt>
                <c:pt idx="14">
                  <c:v>11</c:v>
                </c:pt>
                <c:pt idx="15">
                  <c:v>13</c:v>
                </c:pt>
                <c:pt idx="16">
                  <c:v>3</c:v>
                </c:pt>
                <c:pt idx="17">
                  <c:v>9</c:v>
                </c:pt>
                <c:pt idx="18">
                  <c:v>33</c:v>
                </c:pt>
                <c:pt idx="19">
                  <c:v>28</c:v>
                </c:pt>
                <c:pt idx="20">
                  <c:v>22</c:v>
                </c:pt>
              </c:numCache>
            </c:numRef>
          </c:xVal>
          <c:yVal>
            <c:numRef>
              <c:f>'96Z-58 copy'!$Q$2:$Q$22</c:f>
              <c:numCache>
                <c:formatCode>General</c:formatCode>
                <c:ptCount val="21"/>
                <c:pt idx="0">
                  <c:v>2.521845E-2</c:v>
                </c:pt>
                <c:pt idx="1">
                  <c:v>3.9343459999999997E-2</c:v>
                </c:pt>
                <c:pt idx="2">
                  <c:v>5.4541029999999997E-2</c:v>
                </c:pt>
                <c:pt idx="3">
                  <c:v>5.6426240000000003E-2</c:v>
                </c:pt>
                <c:pt idx="4">
                  <c:v>7.0679069999999997E-2</c:v>
                </c:pt>
                <c:pt idx="5">
                  <c:v>6.1345579999999997E-2</c:v>
                </c:pt>
                <c:pt idx="6">
                  <c:v>3.6432239999999998E-2</c:v>
                </c:pt>
                <c:pt idx="7">
                  <c:v>4.6518169999999998E-2</c:v>
                </c:pt>
                <c:pt idx="8">
                  <c:v>5.4322570000000001E-2</c:v>
                </c:pt>
                <c:pt idx="9">
                  <c:v>3.272659E-2</c:v>
                </c:pt>
                <c:pt idx="10">
                  <c:v>6.7169619999999999E-2</c:v>
                </c:pt>
                <c:pt idx="11">
                  <c:v>3.2979149999999999E-2</c:v>
                </c:pt>
                <c:pt idx="12">
                  <c:v>3.1819809999999997E-2</c:v>
                </c:pt>
                <c:pt idx="13">
                  <c:v>2.4664950000000001E-2</c:v>
                </c:pt>
                <c:pt idx="14">
                  <c:v>4.4446380000000001E-2</c:v>
                </c:pt>
                <c:pt idx="15">
                  <c:v>4.9476369999999999E-2</c:v>
                </c:pt>
                <c:pt idx="16">
                  <c:v>1.6742670000000001E-2</c:v>
                </c:pt>
                <c:pt idx="17">
                  <c:v>3.8964989999999998E-2</c:v>
                </c:pt>
                <c:pt idx="18">
                  <c:v>7.6574980000000001E-2</c:v>
                </c:pt>
                <c:pt idx="19">
                  <c:v>7.3291910000000002E-2</c:v>
                </c:pt>
                <c:pt idx="20">
                  <c:v>6.6315780000000005E-2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7-3C42-B5AC-0CD3DA1CCC2F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wu in central age calculation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49285153555201"/>
          <c:y val="5.0925925925925923E-2"/>
          <c:w val="0.76239027523372271"/>
          <c:h val="0.7847640996095002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'96Z-58 copy'!$N$2:$N$22</c:f>
              <c:numCache>
                <c:formatCode>General</c:formatCode>
                <c:ptCount val="21"/>
                <c:pt idx="0">
                  <c:v>45.333333333333329</c:v>
                </c:pt>
                <c:pt idx="1">
                  <c:v>33.962264150943398</c:v>
                </c:pt>
                <c:pt idx="2">
                  <c:v>25.961538461538463</c:v>
                </c:pt>
                <c:pt idx="3">
                  <c:v>25.663716814159294</c:v>
                </c:pt>
                <c:pt idx="4">
                  <c:v>20.5761316872428</c:v>
                </c:pt>
                <c:pt idx="5">
                  <c:v>23.5</c:v>
                </c:pt>
                <c:pt idx="6">
                  <c:v>35.416666666666671</c:v>
                </c:pt>
                <c:pt idx="7">
                  <c:v>30.158730158730158</c:v>
                </c:pt>
                <c:pt idx="8">
                  <c:v>26.760563380281688</c:v>
                </c:pt>
                <c:pt idx="9">
                  <c:v>38.260869565217391</c:v>
                </c:pt>
                <c:pt idx="10">
                  <c:v>21.621621621621621</c:v>
                </c:pt>
                <c:pt idx="11">
                  <c:v>38.666666666666664</c:v>
                </c:pt>
                <c:pt idx="12">
                  <c:v>39.047619047619051</c:v>
                </c:pt>
                <c:pt idx="13">
                  <c:v>45.930232558139537</c:v>
                </c:pt>
                <c:pt idx="14">
                  <c:v>30.681818181818183</c:v>
                </c:pt>
                <c:pt idx="15">
                  <c:v>28.571428571428569</c:v>
                </c:pt>
                <c:pt idx="16">
                  <c:v>58.241758241758248</c:v>
                </c:pt>
                <c:pt idx="17">
                  <c:v>34.285714285714285</c:v>
                </c:pt>
                <c:pt idx="18">
                  <c:v>18.803418803418804</c:v>
                </c:pt>
                <c:pt idx="19">
                  <c:v>19.758064516129032</c:v>
                </c:pt>
                <c:pt idx="20">
                  <c:v>22.123893805309734</c:v>
                </c:pt>
              </c:numCache>
            </c:numRef>
          </c:xVal>
          <c:yVal>
            <c:numRef>
              <c:f>'96Z-58 copy'!$Q$2:$Q$22</c:f>
              <c:numCache>
                <c:formatCode>General</c:formatCode>
                <c:ptCount val="21"/>
                <c:pt idx="0">
                  <c:v>2.521845E-2</c:v>
                </c:pt>
                <c:pt idx="1">
                  <c:v>3.9343459999999997E-2</c:v>
                </c:pt>
                <c:pt idx="2">
                  <c:v>5.4541029999999997E-2</c:v>
                </c:pt>
                <c:pt idx="3">
                  <c:v>5.6426240000000003E-2</c:v>
                </c:pt>
                <c:pt idx="4">
                  <c:v>7.0679069999999997E-2</c:v>
                </c:pt>
                <c:pt idx="5">
                  <c:v>6.1345579999999997E-2</c:v>
                </c:pt>
                <c:pt idx="6">
                  <c:v>3.6432239999999998E-2</c:v>
                </c:pt>
                <c:pt idx="7">
                  <c:v>4.6518169999999998E-2</c:v>
                </c:pt>
                <c:pt idx="8">
                  <c:v>5.4322570000000001E-2</c:v>
                </c:pt>
                <c:pt idx="9">
                  <c:v>3.272659E-2</c:v>
                </c:pt>
                <c:pt idx="10">
                  <c:v>6.7169619999999999E-2</c:v>
                </c:pt>
                <c:pt idx="11">
                  <c:v>3.2979149999999999E-2</c:v>
                </c:pt>
                <c:pt idx="12">
                  <c:v>3.1819809999999997E-2</c:v>
                </c:pt>
                <c:pt idx="13">
                  <c:v>2.4664950000000001E-2</c:v>
                </c:pt>
                <c:pt idx="14">
                  <c:v>4.4446380000000001E-2</c:v>
                </c:pt>
                <c:pt idx="15">
                  <c:v>4.9476369999999999E-2</c:v>
                </c:pt>
                <c:pt idx="16">
                  <c:v>1.6742670000000001E-2</c:v>
                </c:pt>
                <c:pt idx="17">
                  <c:v>3.8964989999999998E-2</c:v>
                </c:pt>
                <c:pt idx="18">
                  <c:v>7.6574980000000001E-2</c:v>
                </c:pt>
                <c:pt idx="19">
                  <c:v>7.3291910000000002E-2</c:v>
                </c:pt>
                <c:pt idx="20">
                  <c:v>6.6315780000000005E-2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E-B040-97D1-2F65BDEA039B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922676607"/>
        <c:axId val="922678399"/>
      </c:scatterChart>
      <c:valAx>
        <c:axId val="9226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Single-grain</a:t>
                </a:r>
                <a:r>
                  <a:rPr lang="en-US" sz="1400" baseline="0"/>
                  <a:t> age uncertainty (%)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8399"/>
        <c:crosses val="autoZero"/>
        <c:crossBetween val="midCat"/>
      </c:valAx>
      <c:valAx>
        <c:axId val="922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wj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2676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27</xdr:row>
      <xdr:rowOff>0</xdr:rowOff>
    </xdr:from>
    <xdr:to>
      <xdr:col>8</xdr:col>
      <xdr:colOff>508000</xdr:colOff>
      <xdr:row>44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ECF78-8C68-68B0-EB01-9342EA8AD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711200</xdr:colOff>
      <xdr:row>27</xdr:row>
      <xdr:rowOff>12700</xdr:rowOff>
    </xdr:from>
    <xdr:to>
      <xdr:col>14</xdr:col>
      <xdr:colOff>787400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57E7B7-96A6-B173-E0F1-0DE5702F7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25</xdr:row>
      <xdr:rowOff>25400</xdr:rowOff>
    </xdr:from>
    <xdr:to>
      <xdr:col>20</xdr:col>
      <xdr:colOff>76200</xdr:colOff>
      <xdr:row>40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23BEEA-B729-1143-99FB-2ECF8933A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26</xdr:col>
      <xdr:colOff>76200</xdr:colOff>
      <xdr:row>14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084C86-D477-DB42-8901-FFB11042B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215900</xdr:colOff>
      <xdr:row>25</xdr:row>
      <xdr:rowOff>25400</xdr:rowOff>
    </xdr:from>
    <xdr:to>
      <xdr:col>25</xdr:col>
      <xdr:colOff>292100</xdr:colOff>
      <xdr:row>40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41C93E-E3A5-E04B-8F2A-B6C89F351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40</xdr:row>
      <xdr:rowOff>165100</xdr:rowOff>
    </xdr:from>
    <xdr:to>
      <xdr:col>20</xdr:col>
      <xdr:colOff>76200</xdr:colOff>
      <xdr:row>56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CB3ABB-9DE7-1F4A-88CC-C50F69AE8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41</xdr:row>
      <xdr:rowOff>0</xdr:rowOff>
    </xdr:from>
    <xdr:to>
      <xdr:col>26</xdr:col>
      <xdr:colOff>76200</xdr:colOff>
      <xdr:row>56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3ED5A-3BD5-D244-964F-B82964756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3E01-ED77-C941-9C7F-3DF42633171D}">
  <dimension ref="A1:T24"/>
  <sheetViews>
    <sheetView tabSelected="1" topLeftCell="A11" workbookViewId="0">
      <selection activeCell="B26" sqref="B2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10</v>
      </c>
      <c r="G1" t="s">
        <v>11</v>
      </c>
      <c r="H1" t="s">
        <v>7</v>
      </c>
      <c r="I1" s="2" t="s">
        <v>6</v>
      </c>
      <c r="L1" t="s">
        <v>3</v>
      </c>
      <c r="M1" t="s">
        <v>8</v>
      </c>
      <c r="O1" t="s">
        <v>9</v>
      </c>
      <c r="Q1" t="s">
        <v>12</v>
      </c>
      <c r="R1" t="s">
        <v>13</v>
      </c>
      <c r="T1" t="s">
        <v>14</v>
      </c>
    </row>
    <row r="2" spans="1:20" x14ac:dyDescent="0.2">
      <c r="A2">
        <v>1</v>
      </c>
      <c r="B2">
        <v>5</v>
      </c>
      <c r="C2">
        <v>1910</v>
      </c>
      <c r="D2">
        <v>3.32</v>
      </c>
      <c r="E2">
        <v>0.27</v>
      </c>
      <c r="F2">
        <f>D2*C2</f>
        <v>6341.2</v>
      </c>
      <c r="G2">
        <f>E2^2*(C2)^2</f>
        <v>265946.49000000005</v>
      </c>
      <c r="H2">
        <f>100*E2/D2</f>
        <v>8.1325301204819276</v>
      </c>
      <c r="I2" s="1">
        <v>9</v>
      </c>
      <c r="J2" s="1">
        <f>SQRT(1/I2)*D2</f>
        <v>1.1066666666666665</v>
      </c>
      <c r="K2">
        <f>J2*100/D2</f>
        <v>33.333333333333329</v>
      </c>
      <c r="L2">
        <v>150</v>
      </c>
      <c r="M2">
        <v>68</v>
      </c>
      <c r="N2">
        <f>M2/L2*100</f>
        <v>45.333333333333329</v>
      </c>
      <c r="O2">
        <f t="shared" ref="O2:O24" si="0">L2*SQRT(0.05+1/B2+(E2/D2)^2)</f>
        <v>75.985594712821907</v>
      </c>
      <c r="Q2">
        <v>2.521845E-2</v>
      </c>
      <c r="R2">
        <v>1.973449E-2</v>
      </c>
      <c r="T2">
        <f>R2/Q2</f>
        <v>0.78254175018686722</v>
      </c>
    </row>
    <row r="3" spans="1:20" x14ac:dyDescent="0.2">
      <c r="A3">
        <v>2</v>
      </c>
      <c r="B3">
        <v>9</v>
      </c>
      <c r="C3">
        <v>2440</v>
      </c>
      <c r="D3">
        <v>6.65</v>
      </c>
      <c r="E3">
        <v>0.41</v>
      </c>
      <c r="F3">
        <f t="shared" ref="F3:F22" si="1">D3*C3</f>
        <v>16226</v>
      </c>
      <c r="G3">
        <f t="shared" ref="G3:G22" si="2">E3^2*(C3)^2</f>
        <v>1000800.1599999998</v>
      </c>
      <c r="H3">
        <f t="shared" ref="H3:H22" si="3">100*E3/D3</f>
        <v>6.1654135338345863</v>
      </c>
      <c r="I3" s="1">
        <v>22</v>
      </c>
      <c r="J3" s="1">
        <f t="shared" ref="J3:J22" si="4">SQRT(1/I3)*D3</f>
        <v>1.4177847637648096</v>
      </c>
      <c r="K3">
        <f t="shared" ref="K3:K22" si="5">J3*100/D3</f>
        <v>21.320071635561046</v>
      </c>
      <c r="L3">
        <v>106</v>
      </c>
      <c r="M3">
        <v>36</v>
      </c>
      <c r="N3">
        <f t="shared" ref="N3:N22" si="6">M3/L3*100</f>
        <v>33.962264150943398</v>
      </c>
      <c r="O3">
        <f t="shared" si="0"/>
        <v>43.045964871743479</v>
      </c>
      <c r="Q3">
        <v>3.9343459999999997E-2</v>
      </c>
      <c r="R3">
        <v>3.7243999999999999E-2</v>
      </c>
      <c r="T3">
        <f t="shared" ref="T3:T22" si="7">R3/Q3</f>
        <v>0.94663763685247826</v>
      </c>
    </row>
    <row r="4" spans="1:20" x14ac:dyDescent="0.2">
      <c r="A4">
        <v>3</v>
      </c>
      <c r="B4">
        <v>15</v>
      </c>
      <c r="C4">
        <v>4570</v>
      </c>
      <c r="D4">
        <v>6.05</v>
      </c>
      <c r="E4">
        <v>0.31</v>
      </c>
      <c r="F4">
        <f t="shared" si="1"/>
        <v>27648.5</v>
      </c>
      <c r="G4">
        <f t="shared" si="2"/>
        <v>2007038.8900000001</v>
      </c>
      <c r="H4">
        <f t="shared" si="3"/>
        <v>5.1239669421487601</v>
      </c>
      <c r="I4" s="1">
        <v>37</v>
      </c>
      <c r="J4" s="1">
        <f t="shared" si="4"/>
        <v>0.99461387319741157</v>
      </c>
      <c r="K4">
        <f t="shared" si="5"/>
        <v>16.439898730535731</v>
      </c>
      <c r="L4">
        <v>104</v>
      </c>
      <c r="M4">
        <v>27</v>
      </c>
      <c r="N4">
        <f t="shared" si="6"/>
        <v>25.961538461538463</v>
      </c>
      <c r="O4">
        <f t="shared" si="0"/>
        <v>35.920246587800555</v>
      </c>
      <c r="Q4">
        <v>5.4541029999999997E-2</v>
      </c>
      <c r="R4">
        <v>5.828038E-2</v>
      </c>
      <c r="T4">
        <f t="shared" si="7"/>
        <v>1.068560311383925</v>
      </c>
    </row>
    <row r="5" spans="1:20" x14ac:dyDescent="0.2">
      <c r="A5">
        <v>4</v>
      </c>
      <c r="B5">
        <v>16</v>
      </c>
      <c r="C5">
        <v>3720</v>
      </c>
      <c r="D5">
        <v>7.31</v>
      </c>
      <c r="E5">
        <v>0.39</v>
      </c>
      <c r="F5">
        <f t="shared" si="1"/>
        <v>27193.199999999997</v>
      </c>
      <c r="G5">
        <f t="shared" si="2"/>
        <v>2104820.64</v>
      </c>
      <c r="H5">
        <f t="shared" si="3"/>
        <v>5.3351573187414507</v>
      </c>
      <c r="I5" s="1">
        <v>37</v>
      </c>
      <c r="J5" s="1">
        <f t="shared" si="4"/>
        <v>1.2017565972021618</v>
      </c>
      <c r="K5">
        <f t="shared" si="5"/>
        <v>16.439898730535731</v>
      </c>
      <c r="L5">
        <v>113</v>
      </c>
      <c r="M5">
        <v>29</v>
      </c>
      <c r="N5">
        <f t="shared" si="6"/>
        <v>25.663716814159294</v>
      </c>
      <c r="O5">
        <f t="shared" si="0"/>
        <v>38.377832905557774</v>
      </c>
      <c r="Q5">
        <v>5.6426240000000003E-2</v>
      </c>
      <c r="R5">
        <v>6.0546790000000003E-2</v>
      </c>
      <c r="T5">
        <f t="shared" si="7"/>
        <v>1.0730254222149127</v>
      </c>
    </row>
    <row r="6" spans="1:20" x14ac:dyDescent="0.2">
      <c r="A6">
        <v>5</v>
      </c>
      <c r="B6">
        <v>26</v>
      </c>
      <c r="C6">
        <v>3600</v>
      </c>
      <c r="D6">
        <v>5.63</v>
      </c>
      <c r="E6">
        <v>0.35</v>
      </c>
      <c r="F6">
        <f t="shared" si="1"/>
        <v>20268</v>
      </c>
      <c r="G6">
        <f t="shared" si="2"/>
        <v>1587599.9999999998</v>
      </c>
      <c r="H6">
        <f t="shared" si="3"/>
        <v>6.2166962699822381</v>
      </c>
      <c r="I6" s="1">
        <v>27</v>
      </c>
      <c r="J6" s="1">
        <f t="shared" si="4"/>
        <v>1.0834940051791977</v>
      </c>
      <c r="K6">
        <f t="shared" si="5"/>
        <v>19.245008972987527</v>
      </c>
      <c r="L6">
        <v>243</v>
      </c>
      <c r="M6">
        <v>50</v>
      </c>
      <c r="N6">
        <f t="shared" si="6"/>
        <v>20.5761316872428</v>
      </c>
      <c r="O6">
        <f t="shared" si="0"/>
        <v>73.83612869235931</v>
      </c>
      <c r="Q6">
        <v>7.0679069999999997E-2</v>
      </c>
      <c r="R6">
        <v>6.966841E-2</v>
      </c>
      <c r="T6">
        <f t="shared" si="7"/>
        <v>0.98570071734107434</v>
      </c>
    </row>
    <row r="7" spans="1:20" x14ac:dyDescent="0.2">
      <c r="A7">
        <v>6</v>
      </c>
      <c r="B7">
        <v>19</v>
      </c>
      <c r="C7">
        <v>3720</v>
      </c>
      <c r="D7">
        <v>4.8600000000000003</v>
      </c>
      <c r="E7">
        <v>0.28999999999999998</v>
      </c>
      <c r="F7">
        <f t="shared" si="1"/>
        <v>18079.2</v>
      </c>
      <c r="G7">
        <f t="shared" si="2"/>
        <v>1163809.44</v>
      </c>
      <c r="H7">
        <f t="shared" si="3"/>
        <v>5.9670781893004108</v>
      </c>
      <c r="I7" s="1">
        <v>24</v>
      </c>
      <c r="J7" s="1">
        <f t="shared" si="4"/>
        <v>0.99204334582718723</v>
      </c>
      <c r="K7">
        <f t="shared" si="5"/>
        <v>20.412414523193153</v>
      </c>
      <c r="L7">
        <v>200</v>
      </c>
      <c r="M7">
        <v>47</v>
      </c>
      <c r="N7">
        <f t="shared" si="6"/>
        <v>23.5</v>
      </c>
      <c r="O7">
        <f t="shared" si="0"/>
        <v>65.174283627544654</v>
      </c>
      <c r="Q7">
        <v>6.1345579999999997E-2</v>
      </c>
      <c r="R7">
        <v>5.7965559999999999E-2</v>
      </c>
      <c r="T7">
        <f t="shared" si="7"/>
        <v>0.94490197989814428</v>
      </c>
    </row>
    <row r="8" spans="1:20" x14ac:dyDescent="0.2">
      <c r="A8">
        <v>7</v>
      </c>
      <c r="B8">
        <v>8</v>
      </c>
      <c r="C8">
        <v>3960</v>
      </c>
      <c r="D8">
        <v>4.0199999999999996</v>
      </c>
      <c r="E8">
        <v>0.22</v>
      </c>
      <c r="F8">
        <f t="shared" si="1"/>
        <v>15919.199999999999</v>
      </c>
      <c r="G8">
        <f t="shared" si="2"/>
        <v>758989.44</v>
      </c>
      <c r="H8">
        <f t="shared" si="3"/>
        <v>5.4726368159203984</v>
      </c>
      <c r="I8" s="1">
        <v>21</v>
      </c>
      <c r="J8" s="1">
        <f t="shared" si="4"/>
        <v>0.87723591874868923</v>
      </c>
      <c r="K8">
        <f t="shared" si="5"/>
        <v>21.821789023599234</v>
      </c>
      <c r="L8">
        <v>96</v>
      </c>
      <c r="M8">
        <v>34</v>
      </c>
      <c r="N8">
        <f t="shared" si="6"/>
        <v>35.416666666666671</v>
      </c>
      <c r="O8">
        <f t="shared" si="0"/>
        <v>40.50187271012787</v>
      </c>
      <c r="Q8">
        <v>3.6432239999999998E-2</v>
      </c>
      <c r="R8">
        <v>3.410113E-2</v>
      </c>
      <c r="T8">
        <f t="shared" si="7"/>
        <v>0.93601518874491396</v>
      </c>
    </row>
    <row r="9" spans="1:20" x14ac:dyDescent="0.2">
      <c r="A9">
        <v>8</v>
      </c>
      <c r="B9">
        <v>12</v>
      </c>
      <c r="C9">
        <v>2590</v>
      </c>
      <c r="D9">
        <v>7.04</v>
      </c>
      <c r="E9">
        <v>0.56000000000000005</v>
      </c>
      <c r="F9">
        <f t="shared" si="1"/>
        <v>18233.599999999999</v>
      </c>
      <c r="G9">
        <f t="shared" si="2"/>
        <v>2103660.16</v>
      </c>
      <c r="H9">
        <f t="shared" si="3"/>
        <v>7.9545454545454559</v>
      </c>
      <c r="I9" s="1">
        <v>25</v>
      </c>
      <c r="J9" s="1">
        <f t="shared" si="4"/>
        <v>1.4080000000000001</v>
      </c>
      <c r="K9">
        <f t="shared" si="5"/>
        <v>20</v>
      </c>
      <c r="L9">
        <v>126</v>
      </c>
      <c r="M9">
        <v>38</v>
      </c>
      <c r="N9">
        <f t="shared" si="6"/>
        <v>30.158730158730158</v>
      </c>
      <c r="O9">
        <f t="shared" si="0"/>
        <v>47.087737915337058</v>
      </c>
      <c r="Q9">
        <v>4.6518169999999998E-2</v>
      </c>
      <c r="R9">
        <v>4.602506E-2</v>
      </c>
      <c r="T9">
        <f t="shared" si="7"/>
        <v>0.9893996259956056</v>
      </c>
    </row>
    <row r="10" spans="1:20" x14ac:dyDescent="0.2">
      <c r="A10">
        <v>9</v>
      </c>
      <c r="B10">
        <v>15</v>
      </c>
      <c r="C10">
        <v>2290</v>
      </c>
      <c r="D10">
        <v>8.8000000000000007</v>
      </c>
      <c r="E10">
        <v>0.49</v>
      </c>
      <c r="F10">
        <f t="shared" si="1"/>
        <v>20152</v>
      </c>
      <c r="G10">
        <f t="shared" si="2"/>
        <v>1259108.4099999999</v>
      </c>
      <c r="H10">
        <f t="shared" si="3"/>
        <v>5.5681818181818175</v>
      </c>
      <c r="I10" s="1">
        <v>27</v>
      </c>
      <c r="J10" s="1">
        <f t="shared" si="4"/>
        <v>1.6935607896229024</v>
      </c>
      <c r="K10">
        <f t="shared" si="5"/>
        <v>19.245008972987527</v>
      </c>
      <c r="L10">
        <v>142</v>
      </c>
      <c r="M10">
        <v>38</v>
      </c>
      <c r="N10">
        <f t="shared" si="6"/>
        <v>26.760563380281688</v>
      </c>
      <c r="O10">
        <f t="shared" si="0"/>
        <v>49.142491190689519</v>
      </c>
      <c r="Q10">
        <v>5.4322570000000001E-2</v>
      </c>
      <c r="R10">
        <v>5.34718E-2</v>
      </c>
      <c r="T10">
        <f t="shared" si="7"/>
        <v>0.98433855393807768</v>
      </c>
    </row>
    <row r="11" spans="1:20" x14ac:dyDescent="0.2">
      <c r="A11">
        <v>10</v>
      </c>
      <c r="B11">
        <v>7</v>
      </c>
      <c r="C11">
        <v>1580</v>
      </c>
      <c r="D11">
        <v>7.38</v>
      </c>
      <c r="E11">
        <v>0.53</v>
      </c>
      <c r="F11">
        <f t="shared" si="1"/>
        <v>11660.4</v>
      </c>
      <c r="G11">
        <f t="shared" si="2"/>
        <v>701238.76000000013</v>
      </c>
      <c r="H11">
        <f t="shared" si="3"/>
        <v>7.1815718157181569</v>
      </c>
      <c r="I11" s="1">
        <v>16</v>
      </c>
      <c r="J11" s="1">
        <f t="shared" si="4"/>
        <v>1.845</v>
      </c>
      <c r="K11">
        <f t="shared" si="5"/>
        <v>25</v>
      </c>
      <c r="L11">
        <v>115</v>
      </c>
      <c r="M11">
        <v>44</v>
      </c>
      <c r="N11">
        <f t="shared" si="6"/>
        <v>38.260869565217391</v>
      </c>
      <c r="O11">
        <f t="shared" si="0"/>
        <v>51.173661360729056</v>
      </c>
      <c r="Q11">
        <v>3.272659E-2</v>
      </c>
      <c r="R11">
        <v>2.9094269999999998E-2</v>
      </c>
      <c r="T11">
        <f t="shared" si="7"/>
        <v>0.88901012907241472</v>
      </c>
    </row>
    <row r="12" spans="1:20" x14ac:dyDescent="0.2">
      <c r="A12">
        <v>11</v>
      </c>
      <c r="B12">
        <v>23</v>
      </c>
      <c r="C12">
        <v>3160</v>
      </c>
      <c r="D12">
        <v>7.49</v>
      </c>
      <c r="E12">
        <v>0.45</v>
      </c>
      <c r="F12">
        <f t="shared" si="1"/>
        <v>23668.400000000001</v>
      </c>
      <c r="G12">
        <f t="shared" si="2"/>
        <v>2022084.0000000002</v>
      </c>
      <c r="H12">
        <f t="shared" si="3"/>
        <v>6.0080106809078773</v>
      </c>
      <c r="I12" s="1">
        <v>32</v>
      </c>
      <c r="J12" s="1">
        <f t="shared" si="4"/>
        <v>1.3240574477718103</v>
      </c>
      <c r="K12">
        <f t="shared" si="5"/>
        <v>17.677669529663689</v>
      </c>
      <c r="L12">
        <v>185</v>
      </c>
      <c r="M12">
        <v>40</v>
      </c>
      <c r="N12">
        <f t="shared" si="6"/>
        <v>21.621621621621621</v>
      </c>
      <c r="O12">
        <f t="shared" si="0"/>
        <v>57.644017005679203</v>
      </c>
      <c r="Q12">
        <v>6.7169619999999999E-2</v>
      </c>
      <c r="R12">
        <v>7.0249549999999994E-2</v>
      </c>
      <c r="T12">
        <f t="shared" si="7"/>
        <v>1.0458530210532677</v>
      </c>
    </row>
    <row r="13" spans="1:20" x14ac:dyDescent="0.2">
      <c r="A13">
        <v>12</v>
      </c>
      <c r="B13">
        <v>7</v>
      </c>
      <c r="C13">
        <v>1850</v>
      </c>
      <c r="D13">
        <v>4.8</v>
      </c>
      <c r="E13">
        <v>0.28999999999999998</v>
      </c>
      <c r="F13">
        <f t="shared" si="1"/>
        <v>8880</v>
      </c>
      <c r="G13">
        <f t="shared" si="2"/>
        <v>287832.25</v>
      </c>
      <c r="H13">
        <f t="shared" si="3"/>
        <v>6.0416666666666661</v>
      </c>
      <c r="I13" s="1">
        <v>12</v>
      </c>
      <c r="J13" s="1">
        <f t="shared" si="4"/>
        <v>1.3856406460551016</v>
      </c>
      <c r="K13">
        <f t="shared" si="5"/>
        <v>28.867513459481287</v>
      </c>
      <c r="L13">
        <v>150</v>
      </c>
      <c r="M13">
        <v>58</v>
      </c>
      <c r="N13">
        <f t="shared" si="6"/>
        <v>38.666666666666664</v>
      </c>
      <c r="O13">
        <f t="shared" si="0"/>
        <v>66.493718654739965</v>
      </c>
      <c r="Q13">
        <v>3.2979149999999999E-2</v>
      </c>
      <c r="R13">
        <v>2.6608179999999999E-2</v>
      </c>
      <c r="T13">
        <f t="shared" si="7"/>
        <v>0.80681824728654317</v>
      </c>
    </row>
    <row r="14" spans="1:20" x14ac:dyDescent="0.2">
      <c r="A14">
        <v>13</v>
      </c>
      <c r="B14">
        <v>9</v>
      </c>
      <c r="C14">
        <v>1850</v>
      </c>
      <c r="D14">
        <v>2.91</v>
      </c>
      <c r="E14">
        <v>0.6</v>
      </c>
      <c r="F14">
        <f t="shared" si="1"/>
        <v>5383.5</v>
      </c>
      <c r="G14">
        <f t="shared" si="2"/>
        <v>1232100</v>
      </c>
      <c r="H14">
        <f t="shared" si="3"/>
        <v>20.618556701030926</v>
      </c>
      <c r="I14" s="1">
        <v>7</v>
      </c>
      <c r="J14" s="1">
        <f t="shared" si="4"/>
        <v>1.0998766164568512</v>
      </c>
      <c r="K14">
        <f t="shared" si="5"/>
        <v>37.796447300922722</v>
      </c>
      <c r="L14">
        <v>315</v>
      </c>
      <c r="M14">
        <v>123</v>
      </c>
      <c r="N14">
        <f t="shared" si="6"/>
        <v>39.047619047619051</v>
      </c>
      <c r="O14">
        <f t="shared" si="0"/>
        <v>142.14271569835248</v>
      </c>
      <c r="Q14">
        <v>3.1819809999999997E-2</v>
      </c>
      <c r="R14">
        <v>2.3886709999999998E-2</v>
      </c>
      <c r="T14">
        <f t="shared" si="7"/>
        <v>0.75068675771476956</v>
      </c>
    </row>
    <row r="15" spans="1:20" x14ac:dyDescent="0.2">
      <c r="A15">
        <v>14</v>
      </c>
      <c r="B15">
        <v>5</v>
      </c>
      <c r="C15">
        <v>1860</v>
      </c>
      <c r="D15">
        <v>2.97</v>
      </c>
      <c r="E15">
        <v>0.33</v>
      </c>
      <c r="F15">
        <f t="shared" si="1"/>
        <v>5524.2000000000007</v>
      </c>
      <c r="G15">
        <f t="shared" si="2"/>
        <v>376750.44000000006</v>
      </c>
      <c r="H15">
        <f t="shared" si="3"/>
        <v>11.111111111111111</v>
      </c>
      <c r="I15" s="1">
        <v>7</v>
      </c>
      <c r="J15" s="1">
        <f t="shared" si="4"/>
        <v>1.1225544848374049</v>
      </c>
      <c r="K15">
        <f t="shared" si="5"/>
        <v>37.796447300922722</v>
      </c>
      <c r="L15">
        <v>172</v>
      </c>
      <c r="M15">
        <v>79</v>
      </c>
      <c r="N15">
        <f t="shared" si="6"/>
        <v>45.930232558139537</v>
      </c>
      <c r="O15">
        <f t="shared" si="0"/>
        <v>88.09786925857648</v>
      </c>
      <c r="Q15">
        <v>2.4664950000000001E-2</v>
      </c>
      <c r="R15">
        <v>1.799653E-2</v>
      </c>
      <c r="T15">
        <f t="shared" si="7"/>
        <v>0.72963983304243463</v>
      </c>
    </row>
    <row r="16" spans="1:20" x14ac:dyDescent="0.2">
      <c r="A16">
        <v>15</v>
      </c>
      <c r="B16">
        <v>11</v>
      </c>
      <c r="C16">
        <v>2430</v>
      </c>
      <c r="D16">
        <v>9.84</v>
      </c>
      <c r="E16">
        <v>0.71</v>
      </c>
      <c r="F16">
        <f t="shared" si="1"/>
        <v>23911.200000000001</v>
      </c>
      <c r="G16">
        <f t="shared" si="2"/>
        <v>2976660.09</v>
      </c>
      <c r="H16">
        <f t="shared" si="3"/>
        <v>7.2154471544715451</v>
      </c>
      <c r="I16" s="1">
        <v>32</v>
      </c>
      <c r="J16" s="1">
        <f t="shared" si="4"/>
        <v>1.7394826817189071</v>
      </c>
      <c r="K16">
        <f t="shared" si="5"/>
        <v>17.677669529663689</v>
      </c>
      <c r="L16">
        <v>88</v>
      </c>
      <c r="M16">
        <v>27</v>
      </c>
      <c r="N16">
        <f t="shared" si="6"/>
        <v>30.681818181818183</v>
      </c>
      <c r="O16">
        <f t="shared" si="0"/>
        <v>33.638034091837469</v>
      </c>
      <c r="Q16">
        <v>4.4446380000000001E-2</v>
      </c>
      <c r="R16">
        <v>4.64117E-2</v>
      </c>
      <c r="T16">
        <f t="shared" si="7"/>
        <v>1.0442177743159284</v>
      </c>
    </row>
    <row r="17" spans="1:20" x14ac:dyDescent="0.2">
      <c r="A17">
        <v>16</v>
      </c>
      <c r="B17">
        <v>13</v>
      </c>
      <c r="C17">
        <v>2980</v>
      </c>
      <c r="D17">
        <v>6.29</v>
      </c>
      <c r="E17">
        <v>0.42</v>
      </c>
      <c r="F17">
        <f t="shared" si="1"/>
        <v>18744.2</v>
      </c>
      <c r="G17">
        <f t="shared" si="2"/>
        <v>1566502.5599999998</v>
      </c>
      <c r="H17">
        <f t="shared" si="3"/>
        <v>6.6772655007949124</v>
      </c>
      <c r="I17" s="1">
        <v>25</v>
      </c>
      <c r="J17" s="1">
        <f t="shared" si="4"/>
        <v>1.258</v>
      </c>
      <c r="K17">
        <f t="shared" si="5"/>
        <v>20</v>
      </c>
      <c r="L17">
        <v>133</v>
      </c>
      <c r="M17">
        <v>38</v>
      </c>
      <c r="N17">
        <f t="shared" si="6"/>
        <v>28.571428571428569</v>
      </c>
      <c r="O17">
        <f t="shared" si="0"/>
        <v>48.20798959939971</v>
      </c>
      <c r="Q17">
        <v>4.9476369999999999E-2</v>
      </c>
      <c r="R17">
        <v>4.8217929999999999E-2</v>
      </c>
      <c r="T17">
        <f t="shared" si="7"/>
        <v>0.97456482761366692</v>
      </c>
    </row>
    <row r="18" spans="1:20" x14ac:dyDescent="0.2">
      <c r="A18">
        <v>17</v>
      </c>
      <c r="B18">
        <v>3</v>
      </c>
      <c r="C18">
        <v>1790</v>
      </c>
      <c r="D18">
        <v>3.54</v>
      </c>
      <c r="E18">
        <v>0.18</v>
      </c>
      <c r="F18">
        <f t="shared" si="1"/>
        <v>6336.6</v>
      </c>
      <c r="G18">
        <f t="shared" si="2"/>
        <v>103812.84</v>
      </c>
      <c r="H18">
        <f t="shared" si="3"/>
        <v>5.0847457627118642</v>
      </c>
      <c r="I18" s="1">
        <v>9</v>
      </c>
      <c r="J18" s="1">
        <f t="shared" si="4"/>
        <v>1.18</v>
      </c>
      <c r="K18">
        <f t="shared" si="5"/>
        <v>33.333333333333336</v>
      </c>
      <c r="L18">
        <v>91</v>
      </c>
      <c r="M18">
        <v>53</v>
      </c>
      <c r="N18">
        <f t="shared" si="6"/>
        <v>58.241758241758248</v>
      </c>
      <c r="O18">
        <f t="shared" si="0"/>
        <v>56.531350242848553</v>
      </c>
      <c r="Q18">
        <v>1.6742670000000001E-2</v>
      </c>
      <c r="R18">
        <v>1.4039889999999999E-2</v>
      </c>
      <c r="T18">
        <f t="shared" si="7"/>
        <v>0.83856935602266536</v>
      </c>
    </row>
    <row r="19" spans="1:20" x14ac:dyDescent="0.2">
      <c r="A19">
        <v>18</v>
      </c>
      <c r="B19">
        <v>9</v>
      </c>
      <c r="C19">
        <v>2850</v>
      </c>
      <c r="D19">
        <v>2.86</v>
      </c>
      <c r="E19">
        <v>0.21</v>
      </c>
      <c r="F19">
        <f t="shared" si="1"/>
        <v>8151</v>
      </c>
      <c r="G19">
        <f t="shared" si="2"/>
        <v>358202.24999999994</v>
      </c>
      <c r="H19">
        <f t="shared" si="3"/>
        <v>7.3426573426573434</v>
      </c>
      <c r="I19" s="1">
        <v>11</v>
      </c>
      <c r="J19" s="1">
        <f t="shared" si="4"/>
        <v>0.86232244549240389</v>
      </c>
      <c r="K19">
        <f t="shared" si="5"/>
        <v>30.151134457776362</v>
      </c>
      <c r="L19">
        <v>210</v>
      </c>
      <c r="M19">
        <v>72</v>
      </c>
      <c r="N19">
        <f t="shared" si="6"/>
        <v>34.285714285714285</v>
      </c>
      <c r="O19">
        <f t="shared" si="0"/>
        <v>85.689926247581212</v>
      </c>
      <c r="Q19">
        <v>3.8964989999999998E-2</v>
      </c>
      <c r="R19">
        <v>2.9536300000000001E-2</v>
      </c>
      <c r="T19">
        <f t="shared" si="7"/>
        <v>0.75802149570678712</v>
      </c>
    </row>
    <row r="20" spans="1:20" x14ac:dyDescent="0.2">
      <c r="A20">
        <v>19</v>
      </c>
      <c r="B20">
        <v>33</v>
      </c>
      <c r="C20">
        <v>2540</v>
      </c>
      <c r="D20">
        <v>21.2</v>
      </c>
      <c r="E20">
        <v>1.5</v>
      </c>
      <c r="F20">
        <f t="shared" si="1"/>
        <v>53848</v>
      </c>
      <c r="G20">
        <f t="shared" si="2"/>
        <v>14516100</v>
      </c>
      <c r="H20">
        <f t="shared" si="3"/>
        <v>7.0754716981132075</v>
      </c>
      <c r="I20" s="1">
        <v>72</v>
      </c>
      <c r="J20" s="1">
        <f t="shared" si="4"/>
        <v>2.4984439601924677</v>
      </c>
      <c r="K20">
        <f t="shared" si="5"/>
        <v>11.785113019775791</v>
      </c>
      <c r="L20">
        <v>117</v>
      </c>
      <c r="M20">
        <v>22</v>
      </c>
      <c r="N20">
        <f t="shared" si="6"/>
        <v>18.803418803418804</v>
      </c>
      <c r="O20">
        <f t="shared" si="0"/>
        <v>34.173066352714869</v>
      </c>
      <c r="Q20">
        <v>7.6574980000000001E-2</v>
      </c>
      <c r="R20">
        <v>0.10495517</v>
      </c>
      <c r="T20">
        <f t="shared" si="7"/>
        <v>1.3706196201422449</v>
      </c>
    </row>
    <row r="21" spans="1:20" x14ac:dyDescent="0.2">
      <c r="A21">
        <v>20</v>
      </c>
      <c r="B21">
        <v>28</v>
      </c>
      <c r="C21">
        <v>3020</v>
      </c>
      <c r="D21">
        <v>7.07</v>
      </c>
      <c r="E21">
        <v>0.41</v>
      </c>
      <c r="F21">
        <f t="shared" si="1"/>
        <v>21351.4</v>
      </c>
      <c r="G21">
        <f t="shared" si="2"/>
        <v>1533139.2399999998</v>
      </c>
      <c r="H21">
        <f t="shared" si="3"/>
        <v>5.7991513437057991</v>
      </c>
      <c r="I21" s="1">
        <v>29</v>
      </c>
      <c r="J21" s="1">
        <f t="shared" si="4"/>
        <v>1.3128660409117567</v>
      </c>
      <c r="K21">
        <f t="shared" si="5"/>
        <v>18.569533817705185</v>
      </c>
      <c r="L21">
        <v>248</v>
      </c>
      <c r="M21">
        <v>49</v>
      </c>
      <c r="N21">
        <f t="shared" si="6"/>
        <v>19.758064516129032</v>
      </c>
      <c r="O21">
        <f t="shared" si="0"/>
        <v>74.017635344039874</v>
      </c>
      <c r="Q21">
        <v>7.3291910000000002E-2</v>
      </c>
      <c r="R21">
        <v>7.3874380000000003E-2</v>
      </c>
      <c r="T21">
        <f t="shared" si="7"/>
        <v>1.0079472618464984</v>
      </c>
    </row>
    <row r="22" spans="1:20" x14ac:dyDescent="0.2">
      <c r="A22">
        <v>21</v>
      </c>
      <c r="B22">
        <v>22</v>
      </c>
      <c r="C22">
        <v>3630</v>
      </c>
      <c r="D22">
        <v>10.27</v>
      </c>
      <c r="E22">
        <v>0.55000000000000004</v>
      </c>
      <c r="F22">
        <f t="shared" si="1"/>
        <v>37280.1</v>
      </c>
      <c r="G22">
        <f t="shared" si="2"/>
        <v>3986012.2500000005</v>
      </c>
      <c r="H22">
        <f t="shared" si="3"/>
        <v>5.355404089581306</v>
      </c>
      <c r="I22" s="1">
        <v>50</v>
      </c>
      <c r="J22" s="1">
        <f t="shared" si="4"/>
        <v>1.4523973285571685</v>
      </c>
      <c r="K22">
        <f t="shared" si="5"/>
        <v>14.142135623730951</v>
      </c>
      <c r="L22">
        <v>113</v>
      </c>
      <c r="M22">
        <v>25</v>
      </c>
      <c r="N22">
        <f t="shared" si="6"/>
        <v>22.123893805309734</v>
      </c>
      <c r="O22">
        <f t="shared" si="0"/>
        <v>35.432767794898105</v>
      </c>
      <c r="Q22">
        <v>6.6315780000000005E-2</v>
      </c>
      <c r="R22">
        <v>7.8091750000000001E-2</v>
      </c>
      <c r="T22">
        <f t="shared" si="7"/>
        <v>1.1775741761613903</v>
      </c>
    </row>
    <row r="23" spans="1:20" x14ac:dyDescent="0.2">
      <c r="O23" t="e">
        <f t="shared" si="0"/>
        <v>#DIV/0!</v>
      </c>
    </row>
    <row r="24" spans="1:20" x14ac:dyDescent="0.2">
      <c r="B24">
        <f>SUM(B2:B22)</f>
        <v>295</v>
      </c>
      <c r="C24">
        <f>SUM(C2:C22)</f>
        <v>58340</v>
      </c>
      <c r="D24">
        <f>SUM(F2:F22)/C24</f>
        <v>6.7672248885841615</v>
      </c>
      <c r="E24">
        <f>SQRT(SUM(G2:G22))/C24</f>
        <v>0.11096955569528356</v>
      </c>
      <c r="L24">
        <v>142.69999999999999</v>
      </c>
      <c r="M24">
        <f>L24*SQRT(1/B24+(E24/D24)^2)</f>
        <v>8.6315546589074561</v>
      </c>
      <c r="O24">
        <f t="shared" si="0"/>
        <v>33.055532605446054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96Z-58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Yuntao Tian</dc:creator>
  <cp:lastModifiedBy>Yuntao Tian</cp:lastModifiedBy>
  <dcterms:created xsi:type="dcterms:W3CDTF">2025-10-01T12:54:56Z</dcterms:created>
  <dcterms:modified xsi:type="dcterms:W3CDTF">2025-10-09T10:10:23Z</dcterms:modified>
</cp:coreProperties>
</file>