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untao/imac2025/MACandPC/Projects/Psudo_EDM_method/submission/PEDM_calculator/spreadsheet/"/>
    </mc:Choice>
  </mc:AlternateContent>
  <xr:revisionPtr revIDLastSave="0" documentId="13_ncr:1_{845014B0-ABC0-1040-A7D1-A6A025D2F00C}" xr6:coauthVersionLast="47" xr6:coauthVersionMax="47" xr10:uidLastSave="{00000000-0000-0000-0000-000000000000}"/>
  <bookViews>
    <workbookView xWindow="1540" yWindow="4100" windowWidth="29420" windowHeight="22180" activeTab="3" xr2:uid="{7B404CCE-F26E-0241-8968-222DC26C679E}"/>
  </bookViews>
  <sheets>
    <sheet name="how to use" sheetId="8" r:id="rId1"/>
    <sheet name="multi-grain U log-mean clc" sheetId="7" r:id="rId2"/>
    <sheet name="pseudo-EDM age calc for AFT" sheetId="1" r:id="rId3"/>
    <sheet name="pseudo-EDM age calc for ZFT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0" l="1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25" i="10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25" i="1"/>
  <c r="B63" i="10"/>
  <c r="D25" i="10"/>
  <c r="B70" i="10"/>
  <c r="D71" i="10" s="1"/>
  <c r="C54" i="10"/>
  <c r="B17" i="10"/>
  <c r="D34" i="10" s="1"/>
  <c r="B70" i="1"/>
  <c r="D71" i="1" s="1"/>
  <c r="S4" i="7"/>
  <c r="B4" i="7" s="1"/>
  <c r="T4" i="7"/>
  <c r="U4" i="7"/>
  <c r="V4" i="7"/>
  <c r="W4" i="7"/>
  <c r="X4" i="7"/>
  <c r="Y4" i="7"/>
  <c r="Z4" i="7"/>
  <c r="AA4" i="7"/>
  <c r="AB4" i="7"/>
  <c r="S5" i="7"/>
  <c r="B5" i="7" s="1"/>
  <c r="T5" i="7"/>
  <c r="U5" i="7"/>
  <c r="V5" i="7"/>
  <c r="W5" i="7"/>
  <c r="X5" i="7"/>
  <c r="Y5" i="7"/>
  <c r="Z5" i="7"/>
  <c r="AA5" i="7"/>
  <c r="AB5" i="7"/>
  <c r="S6" i="7"/>
  <c r="B6" i="7" s="1"/>
  <c r="T6" i="7"/>
  <c r="U6" i="7"/>
  <c r="V6" i="7"/>
  <c r="W6" i="7"/>
  <c r="X6" i="7"/>
  <c r="Y6" i="7"/>
  <c r="Z6" i="7"/>
  <c r="AA6" i="7"/>
  <c r="AB6" i="7"/>
  <c r="S7" i="7"/>
  <c r="B7" i="7" s="1"/>
  <c r="T7" i="7"/>
  <c r="U7" i="7"/>
  <c r="V7" i="7"/>
  <c r="W7" i="7"/>
  <c r="X7" i="7"/>
  <c r="Y7" i="7"/>
  <c r="Z7" i="7"/>
  <c r="AA7" i="7"/>
  <c r="AB7" i="7"/>
  <c r="S8" i="7"/>
  <c r="T8" i="7"/>
  <c r="B8" i="7" s="1"/>
  <c r="U8" i="7"/>
  <c r="V8" i="7"/>
  <c r="W8" i="7"/>
  <c r="X8" i="7"/>
  <c r="Y8" i="7"/>
  <c r="Z8" i="7"/>
  <c r="AA8" i="7"/>
  <c r="AB8" i="7"/>
  <c r="S9" i="7"/>
  <c r="T9" i="7"/>
  <c r="B9" i="7" s="1"/>
  <c r="U9" i="7"/>
  <c r="V9" i="7"/>
  <c r="W9" i="7"/>
  <c r="X9" i="7"/>
  <c r="Y9" i="7"/>
  <c r="Z9" i="7"/>
  <c r="AA9" i="7"/>
  <c r="AB9" i="7"/>
  <c r="S10" i="7"/>
  <c r="T10" i="7"/>
  <c r="B10" i="7" s="1"/>
  <c r="U10" i="7"/>
  <c r="V10" i="7"/>
  <c r="W10" i="7"/>
  <c r="X10" i="7"/>
  <c r="Y10" i="7"/>
  <c r="Z10" i="7"/>
  <c r="AA10" i="7"/>
  <c r="AB10" i="7"/>
  <c r="S11" i="7"/>
  <c r="T11" i="7"/>
  <c r="B11" i="7" s="1"/>
  <c r="U11" i="7"/>
  <c r="V11" i="7"/>
  <c r="W11" i="7"/>
  <c r="X11" i="7"/>
  <c r="Y11" i="7"/>
  <c r="Z11" i="7"/>
  <c r="AA11" i="7"/>
  <c r="AB11" i="7"/>
  <c r="S12" i="7"/>
  <c r="B12" i="7" s="1"/>
  <c r="T12" i="7"/>
  <c r="U12" i="7"/>
  <c r="V12" i="7"/>
  <c r="W12" i="7"/>
  <c r="X12" i="7"/>
  <c r="Y12" i="7"/>
  <c r="Z12" i="7"/>
  <c r="AA12" i="7"/>
  <c r="AB12" i="7"/>
  <c r="S13" i="7"/>
  <c r="B13" i="7" s="1"/>
  <c r="T13" i="7"/>
  <c r="U13" i="7"/>
  <c r="V13" i="7"/>
  <c r="W13" i="7"/>
  <c r="X13" i="7"/>
  <c r="Y13" i="7"/>
  <c r="Z13" i="7"/>
  <c r="AA13" i="7"/>
  <c r="AB13" i="7"/>
  <c r="S14" i="7"/>
  <c r="B14" i="7" s="1"/>
  <c r="T14" i="7"/>
  <c r="U14" i="7"/>
  <c r="V14" i="7"/>
  <c r="W14" i="7"/>
  <c r="X14" i="7"/>
  <c r="Y14" i="7"/>
  <c r="Z14" i="7"/>
  <c r="AA14" i="7"/>
  <c r="AB14" i="7"/>
  <c r="S15" i="7"/>
  <c r="B15" i="7" s="1"/>
  <c r="T15" i="7"/>
  <c r="U15" i="7"/>
  <c r="V15" i="7"/>
  <c r="W15" i="7"/>
  <c r="X15" i="7"/>
  <c r="Y15" i="7"/>
  <c r="Z15" i="7"/>
  <c r="AA15" i="7"/>
  <c r="AB15" i="7"/>
  <c r="S16" i="7"/>
  <c r="B16" i="7" s="1"/>
  <c r="T16" i="7"/>
  <c r="U16" i="7"/>
  <c r="V16" i="7"/>
  <c r="W16" i="7"/>
  <c r="X16" i="7"/>
  <c r="Y16" i="7"/>
  <c r="Z16" i="7"/>
  <c r="AA16" i="7"/>
  <c r="AB16" i="7"/>
  <c r="S17" i="7"/>
  <c r="B17" i="7" s="1"/>
  <c r="T17" i="7"/>
  <c r="U17" i="7"/>
  <c r="V17" i="7"/>
  <c r="W17" i="7"/>
  <c r="X17" i="7"/>
  <c r="Y17" i="7"/>
  <c r="Z17" i="7"/>
  <c r="AA17" i="7"/>
  <c r="AB17" i="7"/>
  <c r="S18" i="7"/>
  <c r="B18" i="7" s="1"/>
  <c r="T18" i="7"/>
  <c r="U18" i="7"/>
  <c r="V18" i="7"/>
  <c r="W18" i="7"/>
  <c r="X18" i="7"/>
  <c r="Y18" i="7"/>
  <c r="Z18" i="7"/>
  <c r="AA18" i="7"/>
  <c r="AB18" i="7"/>
  <c r="S19" i="7"/>
  <c r="T19" i="7"/>
  <c r="B19" i="7" s="1"/>
  <c r="U19" i="7"/>
  <c r="V19" i="7"/>
  <c r="W19" i="7"/>
  <c r="X19" i="7"/>
  <c r="Y19" i="7"/>
  <c r="Z19" i="7"/>
  <c r="AA19" i="7"/>
  <c r="AB19" i="7"/>
  <c r="S20" i="7"/>
  <c r="T20" i="7"/>
  <c r="B20" i="7" s="1"/>
  <c r="U20" i="7"/>
  <c r="V20" i="7"/>
  <c r="W20" i="7"/>
  <c r="X20" i="7"/>
  <c r="Y20" i="7"/>
  <c r="Z20" i="7"/>
  <c r="AA20" i="7"/>
  <c r="AB20" i="7"/>
  <c r="S21" i="7"/>
  <c r="T21" i="7"/>
  <c r="B21" i="7" s="1"/>
  <c r="U21" i="7"/>
  <c r="V21" i="7"/>
  <c r="W21" i="7"/>
  <c r="X21" i="7"/>
  <c r="Y21" i="7"/>
  <c r="Z21" i="7"/>
  <c r="AA21" i="7"/>
  <c r="AB21" i="7"/>
  <c r="S22" i="7"/>
  <c r="B22" i="7" s="1"/>
  <c r="T22" i="7"/>
  <c r="U22" i="7"/>
  <c r="V22" i="7"/>
  <c r="W22" i="7"/>
  <c r="X22" i="7"/>
  <c r="Y22" i="7"/>
  <c r="Z22" i="7"/>
  <c r="AA22" i="7"/>
  <c r="AB22" i="7"/>
  <c r="S23" i="7"/>
  <c r="B23" i="7" s="1"/>
  <c r="T23" i="7"/>
  <c r="U23" i="7"/>
  <c r="V23" i="7"/>
  <c r="W23" i="7"/>
  <c r="X23" i="7"/>
  <c r="Y23" i="7"/>
  <c r="Z23" i="7"/>
  <c r="AA23" i="7"/>
  <c r="AB23" i="7"/>
  <c r="S24" i="7"/>
  <c r="B24" i="7" s="1"/>
  <c r="T24" i="7"/>
  <c r="U24" i="7"/>
  <c r="V24" i="7"/>
  <c r="W24" i="7"/>
  <c r="X24" i="7"/>
  <c r="Y24" i="7"/>
  <c r="Z24" i="7"/>
  <c r="AA24" i="7"/>
  <c r="AB24" i="7"/>
  <c r="S25" i="7"/>
  <c r="B25" i="7" s="1"/>
  <c r="T25" i="7"/>
  <c r="U25" i="7"/>
  <c r="V25" i="7"/>
  <c r="W25" i="7"/>
  <c r="X25" i="7"/>
  <c r="Y25" i="7"/>
  <c r="Z25" i="7"/>
  <c r="AA25" i="7"/>
  <c r="AB25" i="7"/>
  <c r="S26" i="7"/>
  <c r="B26" i="7" s="1"/>
  <c r="T26" i="7"/>
  <c r="U26" i="7"/>
  <c r="V26" i="7"/>
  <c r="W26" i="7"/>
  <c r="X26" i="7"/>
  <c r="Y26" i="7"/>
  <c r="Z26" i="7"/>
  <c r="AA26" i="7"/>
  <c r="AB26" i="7"/>
  <c r="S3" i="7"/>
  <c r="B3" i="7" s="1"/>
  <c r="U3" i="7"/>
  <c r="V3" i="7"/>
  <c r="W3" i="7"/>
  <c r="X3" i="7"/>
  <c r="Y3" i="7"/>
  <c r="Z3" i="7"/>
  <c r="AA3" i="7"/>
  <c r="AB3" i="7"/>
  <c r="T3" i="7"/>
  <c r="C54" i="1"/>
  <c r="B17" i="1"/>
  <c r="D31" i="1" s="1"/>
  <c r="D30" i="1" l="1"/>
  <c r="D40" i="1"/>
  <c r="D25" i="1"/>
  <c r="D39" i="1"/>
  <c r="D29" i="1"/>
  <c r="D48" i="1"/>
  <c r="D38" i="1"/>
  <c r="D28" i="1"/>
  <c r="D47" i="1"/>
  <c r="D37" i="1"/>
  <c r="D27" i="1"/>
  <c r="D46" i="1"/>
  <c r="D36" i="1"/>
  <c r="D26" i="1"/>
  <c r="D45" i="1"/>
  <c r="D35" i="1"/>
  <c r="D44" i="1"/>
  <c r="F44" i="1" s="1"/>
  <c r="G44" i="1" s="1"/>
  <c r="D34" i="1"/>
  <c r="D43" i="1"/>
  <c r="D33" i="1"/>
  <c r="D42" i="1"/>
  <c r="D32" i="1"/>
  <c r="D41" i="1"/>
  <c r="D30" i="10"/>
  <c r="D31" i="10"/>
  <c r="D32" i="10"/>
  <c r="D33" i="10"/>
  <c r="M33" i="10" s="1"/>
  <c r="K30" i="10"/>
  <c r="M30" i="10"/>
  <c r="M31" i="10"/>
  <c r="K31" i="10"/>
  <c r="M32" i="10"/>
  <c r="K32" i="10"/>
  <c r="F34" i="10"/>
  <c r="M34" i="10"/>
  <c r="K34" i="10"/>
  <c r="F30" i="10"/>
  <c r="F31" i="10"/>
  <c r="F32" i="10"/>
  <c r="D45" i="10"/>
  <c r="D44" i="10"/>
  <c r="D43" i="10"/>
  <c r="D37" i="10"/>
  <c r="D27" i="10"/>
  <c r="D36" i="10"/>
  <c r="D35" i="10"/>
  <c r="D38" i="10"/>
  <c r="D42" i="10"/>
  <c r="D41" i="10"/>
  <c r="D40" i="10"/>
  <c r="D39" i="10"/>
  <c r="D28" i="10"/>
  <c r="D29" i="10"/>
  <c r="D26" i="10"/>
  <c r="K46" i="1"/>
  <c r="L46" i="1" s="1"/>
  <c r="K26" i="1"/>
  <c r="L26" i="1" s="1"/>
  <c r="F42" i="1"/>
  <c r="G42" i="1" s="1"/>
  <c r="M26" i="1"/>
  <c r="F33" i="10" l="1"/>
  <c r="K33" i="10"/>
  <c r="L33" i="10" s="1"/>
  <c r="G34" i="10"/>
  <c r="BW34" i="10"/>
  <c r="K39" i="10"/>
  <c r="F39" i="10"/>
  <c r="M39" i="10"/>
  <c r="F44" i="10"/>
  <c r="M44" i="10"/>
  <c r="K44" i="10"/>
  <c r="K40" i="10"/>
  <c r="F40" i="10"/>
  <c r="M40" i="10"/>
  <c r="M45" i="10"/>
  <c r="K45" i="10"/>
  <c r="F45" i="10"/>
  <c r="M28" i="10"/>
  <c r="F28" i="10"/>
  <c r="K28" i="10"/>
  <c r="F42" i="10"/>
  <c r="K42" i="10"/>
  <c r="M42" i="10"/>
  <c r="F26" i="10"/>
  <c r="M26" i="10"/>
  <c r="K26" i="10"/>
  <c r="F35" i="10"/>
  <c r="M35" i="10"/>
  <c r="K35" i="10"/>
  <c r="G31" i="10"/>
  <c r="BW31" i="10" s="1"/>
  <c r="M37" i="10"/>
  <c r="F37" i="10"/>
  <c r="K37" i="10"/>
  <c r="F43" i="10"/>
  <c r="K43" i="10"/>
  <c r="M43" i="10"/>
  <c r="L32" i="10"/>
  <c r="G33" i="10"/>
  <c r="BW33" i="10" s="1"/>
  <c r="M38" i="10"/>
  <c r="K38" i="10"/>
  <c r="F38" i="10"/>
  <c r="G30" i="10"/>
  <c r="BW30" i="10" s="1"/>
  <c r="K41" i="10"/>
  <c r="F41" i="10"/>
  <c r="M41" i="10"/>
  <c r="F25" i="10"/>
  <c r="K25" i="10"/>
  <c r="D54" i="10"/>
  <c r="M25" i="10"/>
  <c r="G32" i="10"/>
  <c r="BW32" i="10" s="1"/>
  <c r="L31" i="10"/>
  <c r="K29" i="10"/>
  <c r="M29" i="10"/>
  <c r="F29" i="10"/>
  <c r="F36" i="10"/>
  <c r="M36" i="10"/>
  <c r="K36" i="10"/>
  <c r="K27" i="10"/>
  <c r="F27" i="10"/>
  <c r="M27" i="10"/>
  <c r="L34" i="10"/>
  <c r="L30" i="10"/>
  <c r="F46" i="1"/>
  <c r="G46" i="1" s="1"/>
  <c r="K32" i="1"/>
  <c r="L32" i="1" s="1"/>
  <c r="K33" i="1"/>
  <c r="L33" i="1" s="1"/>
  <c r="K31" i="1"/>
  <c r="L31" i="1" s="1"/>
  <c r="M42" i="1"/>
  <c r="K42" i="1"/>
  <c r="L42" i="1" s="1"/>
  <c r="M38" i="1"/>
  <c r="F38" i="1"/>
  <c r="M34" i="1"/>
  <c r="F37" i="1"/>
  <c r="K48" i="1"/>
  <c r="L48" i="1" s="1"/>
  <c r="M46" i="1"/>
  <c r="F48" i="1"/>
  <c r="G48" i="1" s="1"/>
  <c r="M48" i="1"/>
  <c r="K38" i="1"/>
  <c r="L38" i="1" s="1"/>
  <c r="K44" i="1"/>
  <c r="L44" i="1" s="1"/>
  <c r="BW44" i="1"/>
  <c r="M44" i="1"/>
  <c r="D54" i="1"/>
  <c r="E54" i="1" s="1"/>
  <c r="B67" i="1" s="1"/>
  <c r="B68" i="1" s="1"/>
  <c r="F34" i="1"/>
  <c r="G34" i="1" s="1"/>
  <c r="F43" i="1"/>
  <c r="G43" i="1" s="1"/>
  <c r="K43" i="1"/>
  <c r="L43" i="1" s="1"/>
  <c r="M43" i="1"/>
  <c r="F36" i="1"/>
  <c r="G36" i="1" s="1"/>
  <c r="M36" i="1"/>
  <c r="K36" i="1"/>
  <c r="L36" i="1" s="1"/>
  <c r="F39" i="1"/>
  <c r="G39" i="1" s="1"/>
  <c r="M39" i="1"/>
  <c r="K39" i="1"/>
  <c r="L39" i="1" s="1"/>
  <c r="F35" i="1"/>
  <c r="G35" i="1" s="1"/>
  <c r="M35" i="1"/>
  <c r="K35" i="1"/>
  <c r="L35" i="1" s="1"/>
  <c r="M33" i="1"/>
  <c r="K47" i="1"/>
  <c r="L47" i="1" s="1"/>
  <c r="M47" i="1"/>
  <c r="F47" i="1"/>
  <c r="G47" i="1" s="1"/>
  <c r="K37" i="1"/>
  <c r="L37" i="1" s="1"/>
  <c r="M37" i="1"/>
  <c r="F45" i="1"/>
  <c r="G45" i="1" s="1"/>
  <c r="K45" i="1"/>
  <c r="L45" i="1" s="1"/>
  <c r="M45" i="1"/>
  <c r="F41" i="1"/>
  <c r="G41" i="1" s="1"/>
  <c r="M41" i="1"/>
  <c r="K41" i="1"/>
  <c r="L41" i="1" s="1"/>
  <c r="M25" i="1"/>
  <c r="K25" i="1"/>
  <c r="L25" i="1" s="1"/>
  <c r="F26" i="1"/>
  <c r="G26" i="1" s="1"/>
  <c r="K34" i="1"/>
  <c r="L34" i="1" s="1"/>
  <c r="F40" i="1"/>
  <c r="G40" i="1" s="1"/>
  <c r="K40" i="1"/>
  <c r="L40" i="1" s="1"/>
  <c r="M40" i="1"/>
  <c r="BW46" i="1"/>
  <c r="BW42" i="1"/>
  <c r="F30" i="1"/>
  <c r="G30" i="1" s="1"/>
  <c r="K30" i="1"/>
  <c r="L30" i="1" s="1"/>
  <c r="M30" i="1"/>
  <c r="M29" i="1"/>
  <c r="F29" i="1"/>
  <c r="G29" i="1" s="1"/>
  <c r="K29" i="1"/>
  <c r="L29" i="1" s="1"/>
  <c r="M32" i="1"/>
  <c r="M31" i="1"/>
  <c r="K27" i="1"/>
  <c r="L27" i="1" s="1"/>
  <c r="F27" i="1"/>
  <c r="G27" i="1" s="1"/>
  <c r="M27" i="1"/>
  <c r="K28" i="1"/>
  <c r="L28" i="1" s="1"/>
  <c r="F28" i="1"/>
  <c r="G28" i="1" s="1"/>
  <c r="M28" i="1"/>
  <c r="H42" i="10" l="1"/>
  <c r="L45" i="10"/>
  <c r="L36" i="10"/>
  <c r="K54" i="10"/>
  <c r="L25" i="10"/>
  <c r="H35" i="10"/>
  <c r="L35" i="10"/>
  <c r="L38" i="10"/>
  <c r="G45" i="10"/>
  <c r="BW45" i="10" s="1"/>
  <c r="G26" i="10"/>
  <c r="BW26" i="10" s="1"/>
  <c r="B81" i="10"/>
  <c r="H44" i="10"/>
  <c r="G36" i="10"/>
  <c r="BW36" i="10" s="1"/>
  <c r="H45" i="10"/>
  <c r="G40" i="10"/>
  <c r="BW40" i="10" s="1"/>
  <c r="L43" i="10"/>
  <c r="G27" i="10"/>
  <c r="BW27" i="10" s="1"/>
  <c r="G41" i="10"/>
  <c r="BW41" i="10" s="1"/>
  <c r="G43" i="10"/>
  <c r="BW43" i="10" s="1"/>
  <c r="G35" i="10"/>
  <c r="BW35" i="10" s="1"/>
  <c r="L28" i="10"/>
  <c r="L44" i="10"/>
  <c r="H43" i="10"/>
  <c r="L42" i="10"/>
  <c r="G29" i="10"/>
  <c r="BW29" i="10" s="1"/>
  <c r="L40" i="10"/>
  <c r="H36" i="10"/>
  <c r="H29" i="10"/>
  <c r="L27" i="10"/>
  <c r="L29" i="10"/>
  <c r="L41" i="10"/>
  <c r="H38" i="10"/>
  <c r="L37" i="10"/>
  <c r="H26" i="10"/>
  <c r="G28" i="10"/>
  <c r="BW28" i="10" s="1"/>
  <c r="G39" i="10"/>
  <c r="BW39" i="10" s="1"/>
  <c r="L39" i="10"/>
  <c r="I40" i="10"/>
  <c r="I39" i="10"/>
  <c r="I32" i="10"/>
  <c r="I31" i="10"/>
  <c r="I45" i="10"/>
  <c r="I44" i="10"/>
  <c r="I43" i="10"/>
  <c r="I42" i="10"/>
  <c r="J42" i="10" s="1"/>
  <c r="I41" i="10"/>
  <c r="I30" i="10"/>
  <c r="I27" i="10"/>
  <c r="I36" i="10"/>
  <c r="I34" i="10"/>
  <c r="I33" i="10"/>
  <c r="I29" i="10"/>
  <c r="I37" i="10"/>
  <c r="I25" i="10"/>
  <c r="I28" i="10"/>
  <c r="I38" i="10"/>
  <c r="I35" i="10"/>
  <c r="I26" i="10"/>
  <c r="H33" i="10"/>
  <c r="H32" i="10"/>
  <c r="H25" i="10"/>
  <c r="H40" i="10"/>
  <c r="H31" i="10"/>
  <c r="H34" i="10"/>
  <c r="E54" i="10"/>
  <c r="B67" i="10" s="1"/>
  <c r="B68" i="10" s="1"/>
  <c r="H27" i="10"/>
  <c r="H30" i="10"/>
  <c r="J30" i="10" s="1"/>
  <c r="H39" i="10"/>
  <c r="G25" i="10"/>
  <c r="BW25" i="10" s="1"/>
  <c r="G42" i="10"/>
  <c r="BW42" i="10" s="1"/>
  <c r="H28" i="10"/>
  <c r="H41" i="10"/>
  <c r="G38" i="10"/>
  <c r="BW38" i="10" s="1"/>
  <c r="G37" i="10"/>
  <c r="BW37" i="10" s="1"/>
  <c r="L26" i="10"/>
  <c r="G44" i="10"/>
  <c r="BW44" i="10" s="1"/>
  <c r="H37" i="10"/>
  <c r="H25" i="1"/>
  <c r="B81" i="1"/>
  <c r="G38" i="1"/>
  <c r="BW38" i="1" s="1"/>
  <c r="G37" i="1"/>
  <c r="BW37" i="1" s="1"/>
  <c r="BW48" i="1"/>
  <c r="F25" i="1"/>
  <c r="BW36" i="1"/>
  <c r="BW34" i="1"/>
  <c r="BW41" i="1"/>
  <c r="F31" i="1"/>
  <c r="BW40" i="1"/>
  <c r="BW35" i="1"/>
  <c r="BW45" i="1"/>
  <c r="F32" i="1"/>
  <c r="G32" i="1" s="1"/>
  <c r="BW47" i="1"/>
  <c r="BW43" i="1"/>
  <c r="F33" i="1"/>
  <c r="BW39" i="1"/>
  <c r="I37" i="1"/>
  <c r="I38" i="1"/>
  <c r="I36" i="1"/>
  <c r="H39" i="1"/>
  <c r="H41" i="1"/>
  <c r="I48" i="1"/>
  <c r="I39" i="1"/>
  <c r="I41" i="1"/>
  <c r="I44" i="1"/>
  <c r="I46" i="1"/>
  <c r="H35" i="1"/>
  <c r="H40" i="1"/>
  <c r="I42" i="1"/>
  <c r="I35" i="1"/>
  <c r="I40" i="1"/>
  <c r="H36" i="1"/>
  <c r="I43" i="1"/>
  <c r="H37" i="1"/>
  <c r="H47" i="1"/>
  <c r="I47" i="1"/>
  <c r="H45" i="1"/>
  <c r="I45" i="1"/>
  <c r="H48" i="1"/>
  <c r="H44" i="1"/>
  <c r="H38" i="1"/>
  <c r="H46" i="1"/>
  <c r="H42" i="1"/>
  <c r="H43" i="1"/>
  <c r="I28" i="1"/>
  <c r="I34" i="1"/>
  <c r="I31" i="1"/>
  <c r="H28" i="1"/>
  <c r="H33" i="1"/>
  <c r="H32" i="1"/>
  <c r="I25" i="1"/>
  <c r="H31" i="1"/>
  <c r="I27" i="1"/>
  <c r="I30" i="1"/>
  <c r="H27" i="1"/>
  <c r="I29" i="1"/>
  <c r="I32" i="1"/>
  <c r="H26" i="1"/>
  <c r="H30" i="1"/>
  <c r="H29" i="1"/>
  <c r="I26" i="1"/>
  <c r="H34" i="1"/>
  <c r="I33" i="1"/>
  <c r="K54" i="1"/>
  <c r="C81" i="1" s="1"/>
  <c r="J45" i="10" l="1"/>
  <c r="J34" i="10"/>
  <c r="J37" i="10"/>
  <c r="J41" i="10"/>
  <c r="J28" i="10"/>
  <c r="J44" i="10"/>
  <c r="J33" i="10"/>
  <c r="J39" i="10"/>
  <c r="C81" i="10"/>
  <c r="N54" i="10" s="1"/>
  <c r="J32" i="10"/>
  <c r="J26" i="10"/>
  <c r="J35" i="10"/>
  <c r="J27" i="10"/>
  <c r="J43" i="10"/>
  <c r="J38" i="10"/>
  <c r="J29" i="10"/>
  <c r="J31" i="10"/>
  <c r="J40" i="10"/>
  <c r="H54" i="10"/>
  <c r="J25" i="10"/>
  <c r="J36" i="10"/>
  <c r="J25" i="1"/>
  <c r="G33" i="1"/>
  <c r="BW33" i="1" s="1"/>
  <c r="G25" i="1"/>
  <c r="BW25" i="1" s="1"/>
  <c r="G31" i="1"/>
  <c r="J43" i="1"/>
  <c r="J45" i="1"/>
  <c r="J42" i="1"/>
  <c r="J36" i="1"/>
  <c r="J38" i="1"/>
  <c r="J37" i="1"/>
  <c r="J46" i="1"/>
  <c r="BW32" i="1"/>
  <c r="J33" i="1"/>
  <c r="BW26" i="1"/>
  <c r="J44" i="1"/>
  <c r="J48" i="1"/>
  <c r="J40" i="1"/>
  <c r="J39" i="1"/>
  <c r="J35" i="1"/>
  <c r="J41" i="1"/>
  <c r="J47" i="1"/>
  <c r="J32" i="1"/>
  <c r="J31" i="1"/>
  <c r="J34" i="1"/>
  <c r="J28" i="1"/>
  <c r="H54" i="1"/>
  <c r="J27" i="1"/>
  <c r="J26" i="1"/>
  <c r="J30" i="1"/>
  <c r="J29" i="1"/>
  <c r="J54" i="10" l="1"/>
  <c r="B71" i="10" s="1"/>
  <c r="B72" i="10" s="1"/>
  <c r="N32" i="10"/>
  <c r="N34" i="10"/>
  <c r="N30" i="10"/>
  <c r="N31" i="10"/>
  <c r="N33" i="10"/>
  <c r="N41" i="10"/>
  <c r="N26" i="10"/>
  <c r="N28" i="10"/>
  <c r="N42" i="10"/>
  <c r="N44" i="10"/>
  <c r="N37" i="10"/>
  <c r="N40" i="10"/>
  <c r="N35" i="10"/>
  <c r="N29" i="10"/>
  <c r="N39" i="10"/>
  <c r="N27" i="10"/>
  <c r="N36" i="10"/>
  <c r="N43" i="10"/>
  <c r="N38" i="10"/>
  <c r="N45" i="10"/>
  <c r="N25" i="10"/>
  <c r="J54" i="1"/>
  <c r="B71" i="1" s="1"/>
  <c r="B72" i="1" s="1"/>
  <c r="BW31" i="1"/>
  <c r="N54" i="1"/>
  <c r="N36" i="1"/>
  <c r="N37" i="1"/>
  <c r="N47" i="1"/>
  <c r="N46" i="1"/>
  <c r="N39" i="1"/>
  <c r="N41" i="1"/>
  <c r="N40" i="1"/>
  <c r="N43" i="1"/>
  <c r="N45" i="1"/>
  <c r="N35" i="1"/>
  <c r="N48" i="1"/>
  <c r="N42" i="1"/>
  <c r="N38" i="1"/>
  <c r="N44" i="1"/>
  <c r="BW28" i="1"/>
  <c r="BW29" i="1"/>
  <c r="BW30" i="1"/>
  <c r="BW27" i="1"/>
  <c r="N33" i="1"/>
  <c r="N31" i="1"/>
  <c r="N30" i="1"/>
  <c r="N34" i="1"/>
  <c r="N29" i="1"/>
  <c r="N26" i="1"/>
  <c r="N25" i="1"/>
  <c r="N27" i="1"/>
  <c r="N32" i="1"/>
  <c r="N28" i="1"/>
  <c r="P39" i="10" l="1"/>
  <c r="O39" i="10"/>
  <c r="O29" i="10"/>
  <c r="P29" i="10"/>
  <c r="P33" i="10"/>
  <c r="O33" i="10"/>
  <c r="O45" i="10"/>
  <c r="P45" i="10"/>
  <c r="P27" i="10"/>
  <c r="O27" i="10"/>
  <c r="P41" i="10"/>
  <c r="O41" i="10"/>
  <c r="P25" i="10"/>
  <c r="O25" i="10"/>
  <c r="P31" i="10"/>
  <c r="O31" i="10"/>
  <c r="O37" i="10"/>
  <c r="P37" i="10"/>
  <c r="P30" i="10"/>
  <c r="O30" i="10"/>
  <c r="P38" i="10"/>
  <c r="O38" i="10"/>
  <c r="O44" i="10"/>
  <c r="P44" i="10"/>
  <c r="P34" i="10"/>
  <c r="O34" i="10"/>
  <c r="P43" i="10"/>
  <c r="O43" i="10"/>
  <c r="P42" i="10"/>
  <c r="O42" i="10"/>
  <c r="P32" i="10"/>
  <c r="O32" i="10"/>
  <c r="O26" i="10"/>
  <c r="P26" i="10"/>
  <c r="P35" i="10"/>
  <c r="O35" i="10"/>
  <c r="P40" i="10"/>
  <c r="O40" i="10"/>
  <c r="O36" i="10"/>
  <c r="P36" i="10"/>
  <c r="P28" i="10"/>
  <c r="O28" i="10"/>
  <c r="O40" i="1"/>
  <c r="P40" i="1"/>
  <c r="O47" i="1"/>
  <c r="P47" i="1"/>
  <c r="O45" i="1"/>
  <c r="P45" i="1"/>
  <c r="P37" i="1"/>
  <c r="O37" i="1"/>
  <c r="O39" i="1"/>
  <c r="P39" i="1"/>
  <c r="O46" i="1"/>
  <c r="P46" i="1"/>
  <c r="P44" i="1"/>
  <c r="O44" i="1"/>
  <c r="O43" i="1"/>
  <c r="P43" i="1"/>
  <c r="P36" i="1"/>
  <c r="O36" i="1"/>
  <c r="O42" i="1"/>
  <c r="P42" i="1"/>
  <c r="P41" i="1"/>
  <c r="O41" i="1"/>
  <c r="P48" i="1"/>
  <c r="O48" i="1"/>
  <c r="O35" i="1"/>
  <c r="P35" i="1"/>
  <c r="O38" i="1"/>
  <c r="P38" i="1"/>
  <c r="P28" i="1"/>
  <c r="O28" i="1"/>
  <c r="P27" i="1"/>
  <c r="O27" i="1"/>
  <c r="P30" i="1"/>
  <c r="O30" i="1"/>
  <c r="P32" i="1"/>
  <c r="O32" i="1"/>
  <c r="P25" i="1"/>
  <c r="O25" i="1"/>
  <c r="O29" i="1"/>
  <c r="P29" i="1"/>
  <c r="P34" i="1"/>
  <c r="O34" i="1"/>
  <c r="O31" i="1"/>
  <c r="P31" i="1"/>
  <c r="P26" i="1"/>
  <c r="O26" i="1"/>
  <c r="P33" i="1"/>
  <c r="O33" i="1"/>
  <c r="B82" i="10" l="1"/>
  <c r="C82" i="10"/>
  <c r="B82" i="1"/>
  <c r="D82" i="1" s="1"/>
  <c r="C82" i="1"/>
  <c r="E82" i="1" s="1"/>
  <c r="Q41" i="1"/>
  <c r="Q39" i="1"/>
  <c r="Q37" i="1"/>
  <c r="Q44" i="1"/>
  <c r="Q34" i="1" l="1"/>
  <c r="R34" i="1" s="1"/>
  <c r="Q29" i="1"/>
  <c r="S29" i="1" s="1"/>
  <c r="Q28" i="1"/>
  <c r="S28" i="1" s="1"/>
  <c r="Q33" i="1"/>
  <c r="S33" i="1" s="1"/>
  <c r="Q42" i="1"/>
  <c r="R42" i="1" s="1"/>
  <c r="E82" i="10"/>
  <c r="Q32" i="10"/>
  <c r="Q31" i="10"/>
  <c r="Q33" i="10"/>
  <c r="Q30" i="10"/>
  <c r="Q34" i="10"/>
  <c r="Q38" i="10"/>
  <c r="Q43" i="10"/>
  <c r="Q44" i="10"/>
  <c r="Q26" i="10"/>
  <c r="Q35" i="10"/>
  <c r="Q45" i="10"/>
  <c r="Q36" i="10"/>
  <c r="Q28" i="10"/>
  <c r="Q40" i="10"/>
  <c r="Q37" i="10"/>
  <c r="Q25" i="10"/>
  <c r="Q27" i="10"/>
  <c r="Q29" i="10"/>
  <c r="Q42" i="10"/>
  <c r="Q41" i="10"/>
  <c r="Q39" i="10"/>
  <c r="Q54" i="10"/>
  <c r="D82" i="10"/>
  <c r="Q27" i="1"/>
  <c r="R27" i="1" s="1"/>
  <c r="Q25" i="1"/>
  <c r="S25" i="1" s="1"/>
  <c r="Q26" i="1"/>
  <c r="S26" i="1" s="1"/>
  <c r="Q40" i="1"/>
  <c r="S40" i="1" s="1"/>
  <c r="Q30" i="1"/>
  <c r="R30" i="1" s="1"/>
  <c r="Q46" i="1"/>
  <c r="S46" i="1" s="1"/>
  <c r="Q32" i="1"/>
  <c r="R32" i="1" s="1"/>
  <c r="Q45" i="1"/>
  <c r="R45" i="1" s="1"/>
  <c r="Q43" i="1"/>
  <c r="R43" i="1" s="1"/>
  <c r="Q31" i="1"/>
  <c r="R31" i="1" s="1"/>
  <c r="Q47" i="1"/>
  <c r="R47" i="1" s="1"/>
  <c r="Q48" i="1"/>
  <c r="S48" i="1" s="1"/>
  <c r="Q36" i="1"/>
  <c r="S36" i="1" s="1"/>
  <c r="R26" i="1"/>
  <c r="Q38" i="1"/>
  <c r="R38" i="1" s="1"/>
  <c r="Q35" i="1"/>
  <c r="R35" i="1" s="1"/>
  <c r="Q54" i="1"/>
  <c r="R28" i="1"/>
  <c r="S32" i="1"/>
  <c r="R33" i="1"/>
  <c r="R29" i="1"/>
  <c r="R25" i="1"/>
  <c r="S34" i="1"/>
  <c r="S41" i="1"/>
  <c r="R41" i="1"/>
  <c r="S44" i="1"/>
  <c r="R44" i="1"/>
  <c r="R40" i="1"/>
  <c r="S37" i="1"/>
  <c r="R37" i="1"/>
  <c r="S39" i="1"/>
  <c r="R39" i="1"/>
  <c r="S42" i="1" l="1"/>
  <c r="R46" i="1"/>
  <c r="S27" i="1"/>
  <c r="R27" i="10"/>
  <c r="S27" i="10"/>
  <c r="S26" i="10"/>
  <c r="R26" i="10"/>
  <c r="S44" i="10"/>
  <c r="R44" i="10"/>
  <c r="S43" i="10"/>
  <c r="R43" i="10"/>
  <c r="R28" i="10"/>
  <c r="S28" i="10"/>
  <c r="S25" i="10"/>
  <c r="R25" i="10"/>
  <c r="S37" i="10"/>
  <c r="R37" i="10"/>
  <c r="S40" i="10"/>
  <c r="R40" i="10"/>
  <c r="R41" i="10"/>
  <c r="S41" i="10"/>
  <c r="S38" i="10"/>
  <c r="R38" i="10"/>
  <c r="S34" i="10"/>
  <c r="R34" i="10"/>
  <c r="S39" i="10"/>
  <c r="R39" i="10"/>
  <c r="S30" i="10"/>
  <c r="R30" i="10"/>
  <c r="R36" i="10"/>
  <c r="S36" i="10"/>
  <c r="R33" i="10"/>
  <c r="S33" i="10"/>
  <c r="S42" i="10"/>
  <c r="R42" i="10"/>
  <c r="S45" i="10"/>
  <c r="R45" i="10"/>
  <c r="S31" i="10"/>
  <c r="R31" i="10"/>
  <c r="S32" i="10"/>
  <c r="R32" i="10"/>
  <c r="S29" i="10"/>
  <c r="R29" i="10"/>
  <c r="R35" i="10"/>
  <c r="S35" i="10"/>
  <c r="S45" i="1"/>
  <c r="S43" i="1"/>
  <c r="S30" i="1"/>
  <c r="R48" i="1"/>
  <c r="S31" i="1"/>
  <c r="C83" i="1" s="1"/>
  <c r="E83" i="1" s="1"/>
  <c r="S47" i="1"/>
  <c r="S38" i="1"/>
  <c r="R36" i="1"/>
  <c r="S35" i="1"/>
  <c r="B83" i="1" l="1"/>
  <c r="B83" i="10"/>
  <c r="C83" i="10"/>
  <c r="T40" i="1"/>
  <c r="U40" i="1" s="1"/>
  <c r="T31" i="1"/>
  <c r="V31" i="1" s="1"/>
  <c r="T48" i="1"/>
  <c r="V48" i="1" s="1"/>
  <c r="T34" i="1"/>
  <c r="V34" i="1" s="1"/>
  <c r="T42" i="1"/>
  <c r="U42" i="1" s="1"/>
  <c r="T43" i="1"/>
  <c r="U43" i="1" s="1"/>
  <c r="D83" i="1"/>
  <c r="T41" i="1"/>
  <c r="V41" i="1" s="1"/>
  <c r="T33" i="1"/>
  <c r="U33" i="1" s="1"/>
  <c r="T26" i="1"/>
  <c r="V26" i="1" s="1"/>
  <c r="T28" i="1"/>
  <c r="V28" i="1" s="1"/>
  <c r="T37" i="1"/>
  <c r="U37" i="1" s="1"/>
  <c r="T30" i="1"/>
  <c r="V30" i="1" s="1"/>
  <c r="T47" i="1"/>
  <c r="V47" i="1" s="1"/>
  <c r="T45" i="1"/>
  <c r="V45" i="1" s="1"/>
  <c r="T32" i="1"/>
  <c r="U32" i="1" s="1"/>
  <c r="T54" i="1"/>
  <c r="T39" i="1"/>
  <c r="U39" i="1" s="1"/>
  <c r="T36" i="1"/>
  <c r="U36" i="1" s="1"/>
  <c r="T29" i="1"/>
  <c r="U29" i="1" s="1"/>
  <c r="T27" i="1"/>
  <c r="V27" i="1" s="1"/>
  <c r="T44" i="1"/>
  <c r="U44" i="1" s="1"/>
  <c r="T25" i="1"/>
  <c r="V25" i="1" s="1"/>
  <c r="T38" i="1"/>
  <c r="U38" i="1" s="1"/>
  <c r="T46" i="1"/>
  <c r="V46" i="1" s="1"/>
  <c r="T35" i="1"/>
  <c r="U35" i="1" s="1"/>
  <c r="U48" i="1"/>
  <c r="U34" i="1" l="1"/>
  <c r="U31" i="1"/>
  <c r="V42" i="1"/>
  <c r="V37" i="1"/>
  <c r="V40" i="1"/>
  <c r="E83" i="10"/>
  <c r="T33" i="10"/>
  <c r="T31" i="10"/>
  <c r="T32" i="10"/>
  <c r="T34" i="10"/>
  <c r="T30" i="10"/>
  <c r="T42" i="10"/>
  <c r="T29" i="10"/>
  <c r="T41" i="10"/>
  <c r="T39" i="10"/>
  <c r="T35" i="10"/>
  <c r="T43" i="10"/>
  <c r="T45" i="10"/>
  <c r="T27" i="10"/>
  <c r="T38" i="10"/>
  <c r="T36" i="10"/>
  <c r="T25" i="10"/>
  <c r="T40" i="10"/>
  <c r="T44" i="10"/>
  <c r="T26" i="10"/>
  <c r="T28" i="10"/>
  <c r="T37" i="10"/>
  <c r="T54" i="10"/>
  <c r="D83" i="10"/>
  <c r="U41" i="1"/>
  <c r="V43" i="1"/>
  <c r="V33" i="1"/>
  <c r="U28" i="1"/>
  <c r="U26" i="1"/>
  <c r="U30" i="1"/>
  <c r="V32" i="1"/>
  <c r="U47" i="1"/>
  <c r="U46" i="1"/>
  <c r="U45" i="1"/>
  <c r="V39" i="1"/>
  <c r="V29" i="1"/>
  <c r="V36" i="1"/>
  <c r="V44" i="1"/>
  <c r="U27" i="1"/>
  <c r="U25" i="1"/>
  <c r="V38" i="1"/>
  <c r="V35" i="1"/>
  <c r="V44" i="10" l="1"/>
  <c r="U44" i="10"/>
  <c r="V41" i="10"/>
  <c r="U41" i="10"/>
  <c r="V43" i="10"/>
  <c r="U43" i="10"/>
  <c r="V29" i="10"/>
  <c r="U29" i="10"/>
  <c r="V42" i="10"/>
  <c r="U42" i="10"/>
  <c r="U30" i="10"/>
  <c r="V30" i="10"/>
  <c r="V34" i="10"/>
  <c r="U34" i="10"/>
  <c r="V45" i="10"/>
  <c r="U45" i="10"/>
  <c r="V35" i="10"/>
  <c r="U35" i="10"/>
  <c r="V33" i="10"/>
  <c r="U33" i="10"/>
  <c r="V40" i="10"/>
  <c r="U40" i="10"/>
  <c r="V25" i="10"/>
  <c r="U25" i="10"/>
  <c r="V36" i="10"/>
  <c r="U36" i="10"/>
  <c r="V38" i="10"/>
  <c r="U38" i="10"/>
  <c r="U27" i="10"/>
  <c r="V27" i="10"/>
  <c r="V37" i="10"/>
  <c r="U37" i="10"/>
  <c r="V32" i="10"/>
  <c r="U32" i="10"/>
  <c r="V31" i="10"/>
  <c r="U31" i="10"/>
  <c r="V28" i="10"/>
  <c r="U28" i="10"/>
  <c r="V26" i="10"/>
  <c r="U26" i="10"/>
  <c r="V39" i="10"/>
  <c r="U39" i="10"/>
  <c r="C84" i="1"/>
  <c r="E84" i="1" s="1"/>
  <c r="B84" i="1"/>
  <c r="W47" i="1" s="1"/>
  <c r="W29" i="1"/>
  <c r="W54" i="1"/>
  <c r="W32" i="1"/>
  <c r="W33" i="1" l="1"/>
  <c r="W31" i="1"/>
  <c r="W38" i="1"/>
  <c r="W27" i="1"/>
  <c r="X27" i="1" s="1"/>
  <c r="W34" i="1"/>
  <c r="Y34" i="1" s="1"/>
  <c r="W26" i="1"/>
  <c r="X26" i="1" s="1"/>
  <c r="B84" i="10"/>
  <c r="D84" i="10" s="1"/>
  <c r="C84" i="10"/>
  <c r="W44" i="1"/>
  <c r="X44" i="1" s="1"/>
  <c r="W30" i="1"/>
  <c r="X30" i="1" s="1"/>
  <c r="W28" i="1"/>
  <c r="W25" i="1"/>
  <c r="Y25" i="1" s="1"/>
  <c r="W42" i="1"/>
  <c r="Y42" i="1" s="1"/>
  <c r="W48" i="1"/>
  <c r="Y48" i="1" s="1"/>
  <c r="W40" i="1"/>
  <c r="X40" i="1" s="1"/>
  <c r="W43" i="1"/>
  <c r="X43" i="1" s="1"/>
  <c r="W41" i="1"/>
  <c r="X41" i="1" s="1"/>
  <c r="W35" i="1"/>
  <c r="X35" i="1" s="1"/>
  <c r="W37" i="1"/>
  <c r="X37" i="1" s="1"/>
  <c r="W36" i="1"/>
  <c r="X36" i="1" s="1"/>
  <c r="W39" i="1"/>
  <c r="X39" i="1" s="1"/>
  <c r="W46" i="1"/>
  <c r="Y46" i="1" s="1"/>
  <c r="D84" i="1"/>
  <c r="W45" i="1"/>
  <c r="Y45" i="1" s="1"/>
  <c r="Y40" i="1"/>
  <c r="Y38" i="1"/>
  <c r="X38" i="1"/>
  <c r="X47" i="1"/>
  <c r="Y47" i="1"/>
  <c r="Y27" i="1"/>
  <c r="Y28" i="1"/>
  <c r="X28" i="1"/>
  <c r="Y32" i="1"/>
  <c r="X32" i="1"/>
  <c r="X29" i="1"/>
  <c r="Y29" i="1"/>
  <c r="X31" i="1"/>
  <c r="Y31" i="1"/>
  <c r="X33" i="1"/>
  <c r="Y33" i="1"/>
  <c r="X34" i="1" l="1"/>
  <c r="Y26" i="1"/>
  <c r="Y30" i="1"/>
  <c r="Y44" i="1"/>
  <c r="X42" i="1"/>
  <c r="X25" i="1"/>
  <c r="E84" i="10"/>
  <c r="W31" i="10"/>
  <c r="W30" i="10"/>
  <c r="W32" i="10"/>
  <c r="W34" i="10"/>
  <c r="W33" i="10"/>
  <c r="W25" i="10"/>
  <c r="W39" i="10"/>
  <c r="W26" i="10"/>
  <c r="W45" i="10"/>
  <c r="W40" i="10"/>
  <c r="W38" i="10"/>
  <c r="W28" i="10"/>
  <c r="W27" i="10"/>
  <c r="W42" i="10"/>
  <c r="W41" i="10"/>
  <c r="W35" i="10"/>
  <c r="W44" i="10"/>
  <c r="W36" i="10"/>
  <c r="W43" i="10"/>
  <c r="W37" i="10"/>
  <c r="W29" i="10"/>
  <c r="W54" i="10"/>
  <c r="X48" i="1"/>
  <c r="Y41" i="1"/>
  <c r="Y43" i="1"/>
  <c r="Y37" i="1"/>
  <c r="X46" i="1"/>
  <c r="Y35" i="1"/>
  <c r="Y36" i="1"/>
  <c r="Y39" i="1"/>
  <c r="X45" i="1"/>
  <c r="C85" i="1" l="1"/>
  <c r="E85" i="1" s="1"/>
  <c r="B85" i="1"/>
  <c r="D85" i="1" s="1"/>
  <c r="X45" i="10"/>
  <c r="Y45" i="10"/>
  <c r="Y44" i="10"/>
  <c r="X44" i="10"/>
  <c r="X39" i="10"/>
  <c r="Y39" i="10"/>
  <c r="Y33" i="10"/>
  <c r="X33" i="10"/>
  <c r="X27" i="10"/>
  <c r="Y27" i="10"/>
  <c r="Y28" i="10"/>
  <c r="X28" i="10"/>
  <c r="Y30" i="10"/>
  <c r="X30" i="10"/>
  <c r="Y36" i="10"/>
  <c r="X36" i="10"/>
  <c r="Y26" i="10"/>
  <c r="X26" i="10"/>
  <c r="X41" i="10"/>
  <c r="Y41" i="10"/>
  <c r="Y42" i="10"/>
  <c r="X42" i="10"/>
  <c r="Y34" i="10"/>
  <c r="X34" i="10"/>
  <c r="Y32" i="10"/>
  <c r="X32" i="10"/>
  <c r="X38" i="10"/>
  <c r="Y38" i="10"/>
  <c r="Y31" i="10"/>
  <c r="X31" i="10"/>
  <c r="Y35" i="10"/>
  <c r="X35" i="10"/>
  <c r="Y25" i="10"/>
  <c r="X25" i="10"/>
  <c r="Y29" i="10"/>
  <c r="X29" i="10"/>
  <c r="X37" i="10"/>
  <c r="Y37" i="10"/>
  <c r="Y43" i="10"/>
  <c r="X43" i="10"/>
  <c r="X40" i="10"/>
  <c r="Y40" i="10"/>
  <c r="Z31" i="1"/>
  <c r="AA31" i="1" s="1"/>
  <c r="Z42" i="1"/>
  <c r="AB42" i="1" s="1"/>
  <c r="Z44" i="1"/>
  <c r="AA44" i="1" s="1"/>
  <c r="Z35" i="1"/>
  <c r="AB35" i="1" s="1"/>
  <c r="Z40" i="1"/>
  <c r="AA40" i="1" s="1"/>
  <c r="Z37" i="1"/>
  <c r="AA37" i="1" s="1"/>
  <c r="Z54" i="1"/>
  <c r="Z33" i="1"/>
  <c r="AA33" i="1" s="1"/>
  <c r="Z34" i="1"/>
  <c r="AB34" i="1" s="1"/>
  <c r="Z28" i="1"/>
  <c r="AA28" i="1" s="1"/>
  <c r="Z27" i="1"/>
  <c r="AA27" i="1" s="1"/>
  <c r="Z29" i="1"/>
  <c r="AB29" i="1" s="1"/>
  <c r="Z46" i="1"/>
  <c r="AB46" i="1" s="1"/>
  <c r="Z41" i="1"/>
  <c r="AA41" i="1" s="1"/>
  <c r="Z26" i="1"/>
  <c r="AA26" i="1" s="1"/>
  <c r="Z25" i="1"/>
  <c r="AA25" i="1" s="1"/>
  <c r="Z48" i="1"/>
  <c r="AB48" i="1" s="1"/>
  <c r="Z36" i="1"/>
  <c r="AB36" i="1" s="1"/>
  <c r="Z30" i="1"/>
  <c r="AB30" i="1" s="1"/>
  <c r="Z43" i="1"/>
  <c r="AB43" i="1" s="1"/>
  <c r="Z39" i="1"/>
  <c r="AA39" i="1" s="1"/>
  <c r="Z32" i="1"/>
  <c r="AA32" i="1" s="1"/>
  <c r="Z45" i="1"/>
  <c r="AB45" i="1" s="1"/>
  <c r="AB40" i="1"/>
  <c r="AB31" i="1" l="1"/>
  <c r="Z38" i="1"/>
  <c r="AA38" i="1" s="1"/>
  <c r="Z47" i="1"/>
  <c r="AA47" i="1" s="1"/>
  <c r="AA42" i="1"/>
  <c r="AB44" i="1"/>
  <c r="C85" i="10"/>
  <c r="B85" i="10"/>
  <c r="AA34" i="1"/>
  <c r="AA35" i="1"/>
  <c r="AB37" i="1"/>
  <c r="AB28" i="1"/>
  <c r="AA30" i="1"/>
  <c r="AB27" i="1"/>
  <c r="AB33" i="1"/>
  <c r="AB26" i="1"/>
  <c r="AA29" i="1"/>
  <c r="AA46" i="1"/>
  <c r="AB39" i="1"/>
  <c r="AB41" i="1"/>
  <c r="AB25" i="1"/>
  <c r="AA45" i="1"/>
  <c r="AA48" i="1"/>
  <c r="AA36" i="1"/>
  <c r="AB38" i="1"/>
  <c r="AB32" i="1"/>
  <c r="AA43" i="1"/>
  <c r="AB47" i="1" l="1"/>
  <c r="D85" i="10"/>
  <c r="E85" i="10"/>
  <c r="Z32" i="10"/>
  <c r="Z30" i="10"/>
  <c r="Z33" i="10"/>
  <c r="Z34" i="10"/>
  <c r="Z31" i="10"/>
  <c r="Z36" i="10"/>
  <c r="Z38" i="10"/>
  <c r="Z35" i="10"/>
  <c r="Z45" i="10"/>
  <c r="Z29" i="10"/>
  <c r="Z25" i="10"/>
  <c r="Z39" i="10"/>
  <c r="Z43" i="10"/>
  <c r="Z40" i="10"/>
  <c r="Z44" i="10"/>
  <c r="Z27" i="10"/>
  <c r="Z41" i="10"/>
  <c r="Z37" i="10"/>
  <c r="Z28" i="10"/>
  <c r="Z42" i="10"/>
  <c r="Z26" i="10"/>
  <c r="Z54" i="10"/>
  <c r="B86" i="1"/>
  <c r="D86" i="1" s="1"/>
  <c r="C86" i="1"/>
  <c r="AC40" i="1" s="1"/>
  <c r="AD40" i="1" s="1"/>
  <c r="AB36" i="10" l="1"/>
  <c r="AA36" i="10"/>
  <c r="AB40" i="10"/>
  <c r="AA40" i="10"/>
  <c r="AB31" i="10"/>
  <c r="AA31" i="10"/>
  <c r="AB39" i="10"/>
  <c r="AA39" i="10"/>
  <c r="AA42" i="10"/>
  <c r="AB42" i="10"/>
  <c r="AB33" i="10"/>
  <c r="AA33" i="10"/>
  <c r="AA29" i="10"/>
  <c r="AB29" i="10"/>
  <c r="AA37" i="10"/>
  <c r="AB37" i="10"/>
  <c r="AB32" i="10"/>
  <c r="AA32" i="10"/>
  <c r="AA35" i="10"/>
  <c r="AB35" i="10"/>
  <c r="AB27" i="10"/>
  <c r="AA27" i="10"/>
  <c r="AB38" i="10"/>
  <c r="AA38" i="10"/>
  <c r="AA43" i="10"/>
  <c r="AB43" i="10"/>
  <c r="AA26" i="10"/>
  <c r="AB26" i="10"/>
  <c r="AA34" i="10"/>
  <c r="AB34" i="10"/>
  <c r="AA25" i="10"/>
  <c r="AB25" i="10"/>
  <c r="AB28" i="10"/>
  <c r="AA28" i="10"/>
  <c r="AA30" i="10"/>
  <c r="AB30" i="10"/>
  <c r="AA45" i="10"/>
  <c r="AB45" i="10"/>
  <c r="AB41" i="10"/>
  <c r="AA41" i="10"/>
  <c r="AA44" i="10"/>
  <c r="AB44" i="10"/>
  <c r="AC30" i="1"/>
  <c r="AE30" i="1" s="1"/>
  <c r="AC37" i="1"/>
  <c r="AE37" i="1" s="1"/>
  <c r="AC44" i="1"/>
  <c r="AD44" i="1" s="1"/>
  <c r="AC32" i="1"/>
  <c r="AE32" i="1" s="1"/>
  <c r="AC36" i="1"/>
  <c r="AE36" i="1" s="1"/>
  <c r="AC42" i="1"/>
  <c r="AD42" i="1" s="1"/>
  <c r="AC39" i="1"/>
  <c r="AD39" i="1" s="1"/>
  <c r="AC47" i="1"/>
  <c r="AE47" i="1" s="1"/>
  <c r="AC45" i="1"/>
  <c r="AD45" i="1" s="1"/>
  <c r="AC38" i="1"/>
  <c r="AD38" i="1" s="1"/>
  <c r="AC26" i="1"/>
  <c r="AE26" i="1" s="1"/>
  <c r="AC28" i="1"/>
  <c r="AE28" i="1" s="1"/>
  <c r="AC34" i="1"/>
  <c r="AE34" i="1" s="1"/>
  <c r="AC25" i="1"/>
  <c r="AD25" i="1" s="1"/>
  <c r="AC35" i="1"/>
  <c r="AE35" i="1" s="1"/>
  <c r="AC31" i="1"/>
  <c r="AE31" i="1" s="1"/>
  <c r="AC41" i="1"/>
  <c r="AD41" i="1" s="1"/>
  <c r="AD36" i="1"/>
  <c r="AC29" i="1"/>
  <c r="AE29" i="1" s="1"/>
  <c r="AC43" i="1"/>
  <c r="AE43" i="1" s="1"/>
  <c r="AC46" i="1"/>
  <c r="E86" i="1"/>
  <c r="AC33" i="1"/>
  <c r="AE33" i="1" s="1"/>
  <c r="AC27" i="1"/>
  <c r="AE27" i="1" s="1"/>
  <c r="AC54" i="1"/>
  <c r="AC48" i="1"/>
  <c r="AD48" i="1" s="1"/>
  <c r="AE44" i="1"/>
  <c r="AE42" i="1"/>
  <c r="AE40" i="1"/>
  <c r="AD30" i="1"/>
  <c r="AD37" i="1" l="1"/>
  <c r="AD32" i="1"/>
  <c r="C86" i="10"/>
  <c r="B86" i="10"/>
  <c r="AE39" i="1"/>
  <c r="AD31" i="1"/>
  <c r="AE48" i="1"/>
  <c r="AE38" i="1"/>
  <c r="AD47" i="1"/>
  <c r="AD43" i="1"/>
  <c r="AD34" i="1"/>
  <c r="AD29" i="1"/>
  <c r="AE41" i="1"/>
  <c r="AE25" i="1"/>
  <c r="AD28" i="1"/>
  <c r="AD26" i="1"/>
  <c r="AE45" i="1"/>
  <c r="AD35" i="1"/>
  <c r="AD33" i="1"/>
  <c r="AD27" i="1"/>
  <c r="AE46" i="1"/>
  <c r="AD46" i="1"/>
  <c r="C87" i="1" l="1"/>
  <c r="D86" i="10"/>
  <c r="E86" i="10"/>
  <c r="AC33" i="10"/>
  <c r="AC30" i="10"/>
  <c r="AC34" i="10"/>
  <c r="AC32" i="10"/>
  <c r="AC31" i="10"/>
  <c r="AC25" i="10"/>
  <c r="AC35" i="10"/>
  <c r="AC40" i="10"/>
  <c r="AC37" i="10"/>
  <c r="AC39" i="10"/>
  <c r="AC27" i="10"/>
  <c r="AC38" i="10"/>
  <c r="AC36" i="10"/>
  <c r="AC28" i="10"/>
  <c r="AC45" i="10"/>
  <c r="AC42" i="10"/>
  <c r="AC29" i="10"/>
  <c r="AC43" i="10"/>
  <c r="AC44" i="10"/>
  <c r="AC26" i="10"/>
  <c r="AC41" i="10"/>
  <c r="AC54" i="10"/>
  <c r="B87" i="1"/>
  <c r="D87" i="1" s="1"/>
  <c r="E87" i="1"/>
  <c r="AF38" i="1"/>
  <c r="AF31" i="1"/>
  <c r="AF42" i="1"/>
  <c r="AF43" i="1"/>
  <c r="AF32" i="1" l="1"/>
  <c r="AF25" i="1"/>
  <c r="AF37" i="1"/>
  <c r="AF28" i="1"/>
  <c r="AF26" i="1"/>
  <c r="AH26" i="1" s="1"/>
  <c r="AF48" i="1"/>
  <c r="AF40" i="1"/>
  <c r="AF41" i="1"/>
  <c r="AH41" i="1" s="1"/>
  <c r="AF34" i="1"/>
  <c r="AG34" i="1" s="1"/>
  <c r="AF54" i="1"/>
  <c r="AF27" i="1"/>
  <c r="AH27" i="1" s="1"/>
  <c r="AF33" i="1"/>
  <c r="AG33" i="1" s="1"/>
  <c r="AF46" i="1"/>
  <c r="AH46" i="1" s="1"/>
  <c r="AF35" i="1"/>
  <c r="AH35" i="1" s="1"/>
  <c r="AF47" i="1"/>
  <c r="AH47" i="1" s="1"/>
  <c r="AF39" i="1"/>
  <c r="AH39" i="1" s="1"/>
  <c r="AF30" i="1"/>
  <c r="AG30" i="1" s="1"/>
  <c r="AF45" i="1"/>
  <c r="AG45" i="1" s="1"/>
  <c r="AF36" i="1"/>
  <c r="AH36" i="1" s="1"/>
  <c r="AE35" i="10"/>
  <c r="AD35" i="10"/>
  <c r="AD31" i="10"/>
  <c r="AE31" i="10"/>
  <c r="AD32" i="10"/>
  <c r="AE32" i="10"/>
  <c r="AE38" i="10"/>
  <c r="AD38" i="10"/>
  <c r="AE43" i="10"/>
  <c r="AD43" i="10"/>
  <c r="AD25" i="10"/>
  <c r="AE25" i="10"/>
  <c r="AD36" i="10"/>
  <c r="AE36" i="10"/>
  <c r="AD34" i="10"/>
  <c r="AE34" i="10"/>
  <c r="AE27" i="10"/>
  <c r="AD27" i="10"/>
  <c r="AE44" i="10"/>
  <c r="AD44" i="10"/>
  <c r="AE29" i="10"/>
  <c r="AD29" i="10"/>
  <c r="AE45" i="10"/>
  <c r="AD45" i="10"/>
  <c r="AE28" i="10"/>
  <c r="AD28" i="10"/>
  <c r="AE41" i="10"/>
  <c r="AD41" i="10"/>
  <c r="AE26" i="10"/>
  <c r="AD26" i="10"/>
  <c r="AE30" i="10"/>
  <c r="AD30" i="10"/>
  <c r="AD33" i="10"/>
  <c r="AE33" i="10"/>
  <c r="AD39" i="10"/>
  <c r="AE39" i="10"/>
  <c r="AE37" i="10"/>
  <c r="AD37" i="10"/>
  <c r="AE42" i="10"/>
  <c r="AD42" i="10"/>
  <c r="AE40" i="10"/>
  <c r="AD40" i="10"/>
  <c r="AF29" i="1"/>
  <c r="AH29" i="1" s="1"/>
  <c r="AF44" i="1"/>
  <c r="AH28" i="1"/>
  <c r="AG28" i="1"/>
  <c r="AG26" i="1"/>
  <c r="AH38" i="1"/>
  <c r="AG38" i="1"/>
  <c r="AH37" i="1"/>
  <c r="AG37" i="1"/>
  <c r="AG29" i="1"/>
  <c r="AG39" i="1"/>
  <c r="AG36" i="1"/>
  <c r="AG43" i="1"/>
  <c r="AH43" i="1"/>
  <c r="AH31" i="1"/>
  <c r="AG31" i="1"/>
  <c r="AH25" i="1"/>
  <c r="AG25" i="1"/>
  <c r="AH44" i="1"/>
  <c r="AG44" i="1"/>
  <c r="AH33" i="1"/>
  <c r="AH45" i="1"/>
  <c r="AG42" i="1"/>
  <c r="AH42" i="1"/>
  <c r="AG32" i="1"/>
  <c r="AH32" i="1"/>
  <c r="AG48" i="1"/>
  <c r="AH48" i="1"/>
  <c r="AH40" i="1"/>
  <c r="AG40" i="1"/>
  <c r="AG27" i="1"/>
  <c r="AH30" i="1" l="1"/>
  <c r="AH34" i="1"/>
  <c r="AG41" i="1"/>
  <c r="AG35" i="1"/>
  <c r="AG47" i="1"/>
  <c r="AG46" i="1"/>
  <c r="C87" i="10"/>
  <c r="B87" i="10"/>
  <c r="B88" i="1"/>
  <c r="D88" i="1" s="1"/>
  <c r="C88" i="1"/>
  <c r="D87" i="10" l="1"/>
  <c r="E87" i="10"/>
  <c r="AF30" i="10"/>
  <c r="AF32" i="10"/>
  <c r="AF34" i="10"/>
  <c r="AF33" i="10"/>
  <c r="AF31" i="10"/>
  <c r="AF36" i="10"/>
  <c r="AF39" i="10"/>
  <c r="AF26" i="10"/>
  <c r="AF27" i="10"/>
  <c r="AF35" i="10"/>
  <c r="AF37" i="10"/>
  <c r="AF42" i="10"/>
  <c r="AF41" i="10"/>
  <c r="AF38" i="10"/>
  <c r="AF29" i="10"/>
  <c r="AF43" i="10"/>
  <c r="AF44" i="10"/>
  <c r="AF25" i="10"/>
  <c r="AF28" i="10"/>
  <c r="AF45" i="10"/>
  <c r="AF40" i="10"/>
  <c r="AF54" i="10"/>
  <c r="E88" i="1"/>
  <c r="AI40" i="1"/>
  <c r="AI29" i="1"/>
  <c r="AI27" i="1"/>
  <c r="AI26" i="1"/>
  <c r="AI28" i="1"/>
  <c r="AI38" i="1"/>
  <c r="AI43" i="1"/>
  <c r="AI35" i="1"/>
  <c r="AI48" i="1"/>
  <c r="AI42" i="1"/>
  <c r="AI46" i="1"/>
  <c r="AI41" i="1"/>
  <c r="AI32" i="1"/>
  <c r="AI25" i="1"/>
  <c r="AI45" i="1"/>
  <c r="AI33" i="1"/>
  <c r="AI30" i="1"/>
  <c r="AI54" i="1"/>
  <c r="AI47" i="1"/>
  <c r="AI31" i="1"/>
  <c r="AI34" i="1"/>
  <c r="AI39" i="1"/>
  <c r="AI37" i="1"/>
  <c r="AI44" i="1"/>
  <c r="AI36" i="1"/>
  <c r="AH36" i="10" l="1"/>
  <c r="AG36" i="10"/>
  <c r="AG38" i="10"/>
  <c r="AH38" i="10"/>
  <c r="AH40" i="10"/>
  <c r="AG40" i="10"/>
  <c r="AH45" i="10"/>
  <c r="AG45" i="10"/>
  <c r="AH43" i="10"/>
  <c r="AG43" i="10"/>
  <c r="AH29" i="10"/>
  <c r="AG29" i="10"/>
  <c r="AG31" i="10"/>
  <c r="AH31" i="10"/>
  <c r="AH33" i="10"/>
  <c r="AG33" i="10"/>
  <c r="AH42" i="10"/>
  <c r="AG42" i="10"/>
  <c r="AH37" i="10"/>
  <c r="AG37" i="10"/>
  <c r="AH39" i="10"/>
  <c r="AG39" i="10"/>
  <c r="AH41" i="10"/>
  <c r="AG41" i="10"/>
  <c r="AH34" i="10"/>
  <c r="AG34" i="10"/>
  <c r="AH32" i="10"/>
  <c r="AG32" i="10"/>
  <c r="AH30" i="10"/>
  <c r="AG30" i="10"/>
  <c r="AG28" i="10"/>
  <c r="AH28" i="10"/>
  <c r="AH35" i="10"/>
  <c r="AG35" i="10"/>
  <c r="AG25" i="10"/>
  <c r="AH25" i="10"/>
  <c r="AH27" i="10"/>
  <c r="AG27" i="10"/>
  <c r="AH44" i="10"/>
  <c r="AG44" i="10"/>
  <c r="AG26" i="10"/>
  <c r="AH26" i="10"/>
  <c r="AK47" i="1"/>
  <c r="AJ47" i="1"/>
  <c r="AJ35" i="1"/>
  <c r="AK35" i="1"/>
  <c r="AK30" i="1"/>
  <c r="AJ30" i="1"/>
  <c r="AK43" i="1"/>
  <c r="AJ43" i="1"/>
  <c r="AK38" i="1"/>
  <c r="AJ38" i="1"/>
  <c r="AK36" i="1"/>
  <c r="AJ36" i="1"/>
  <c r="AK26" i="1"/>
  <c r="AJ26" i="1"/>
  <c r="AK32" i="1"/>
  <c r="AJ32" i="1"/>
  <c r="AJ39" i="1"/>
  <c r="AK39" i="1"/>
  <c r="AJ41" i="1"/>
  <c r="AK41" i="1"/>
  <c r="AK29" i="1"/>
  <c r="AJ29" i="1"/>
  <c r="AJ33" i="1"/>
  <c r="AK33" i="1"/>
  <c r="AJ28" i="1"/>
  <c r="AK28" i="1"/>
  <c r="AJ25" i="1"/>
  <c r="AK25" i="1"/>
  <c r="AJ37" i="1"/>
  <c r="AK37" i="1"/>
  <c r="AJ34" i="1"/>
  <c r="AK34" i="1"/>
  <c r="AJ46" i="1"/>
  <c r="AK46" i="1"/>
  <c r="AK40" i="1"/>
  <c r="AJ40" i="1"/>
  <c r="AK48" i="1"/>
  <c r="AJ48" i="1"/>
  <c r="AJ45" i="1"/>
  <c r="AK45" i="1"/>
  <c r="AJ44" i="1"/>
  <c r="AK44" i="1"/>
  <c r="AK27" i="1"/>
  <c r="AJ27" i="1"/>
  <c r="AK31" i="1"/>
  <c r="AJ31" i="1"/>
  <c r="AK42" i="1"/>
  <c r="AJ42" i="1"/>
  <c r="C88" i="10" l="1"/>
  <c r="B88" i="10"/>
  <c r="C89" i="1"/>
  <c r="B89" i="1"/>
  <c r="D88" i="10" l="1"/>
  <c r="E88" i="10"/>
  <c r="AI34" i="10"/>
  <c r="AI31" i="10"/>
  <c r="AI32" i="10"/>
  <c r="AI33" i="10"/>
  <c r="AI30" i="10"/>
  <c r="AI45" i="10"/>
  <c r="AI35" i="10"/>
  <c r="AI28" i="10"/>
  <c r="AI25" i="10"/>
  <c r="AI27" i="10"/>
  <c r="AI29" i="10"/>
  <c r="AI26" i="10"/>
  <c r="AI44" i="10"/>
  <c r="AI39" i="10"/>
  <c r="AI41" i="10"/>
  <c r="AI36" i="10"/>
  <c r="AI43" i="10"/>
  <c r="AI38" i="10"/>
  <c r="AI42" i="10"/>
  <c r="AI37" i="10"/>
  <c r="AI40" i="10"/>
  <c r="AI54" i="10"/>
  <c r="D89" i="1"/>
  <c r="E89" i="1"/>
  <c r="AL37" i="1"/>
  <c r="AL27" i="1"/>
  <c r="AL43" i="1"/>
  <c r="AL54" i="1"/>
  <c r="AL45" i="1"/>
  <c r="AL29" i="1"/>
  <c r="AL35" i="1"/>
  <c r="AL42" i="1"/>
  <c r="AL28" i="1"/>
  <c r="AL36" i="1"/>
  <c r="AL30" i="1"/>
  <c r="AL44" i="1"/>
  <c r="AL41" i="1"/>
  <c r="AL46" i="1"/>
  <c r="AL48" i="1"/>
  <c r="AL40" i="1"/>
  <c r="AL32" i="1"/>
  <c r="AL38" i="1"/>
  <c r="AL47" i="1"/>
  <c r="AL33" i="1"/>
  <c r="AL31" i="1"/>
  <c r="AL39" i="1"/>
  <c r="AL34" i="1"/>
  <c r="AL26" i="1"/>
  <c r="AL25" i="1"/>
  <c r="AJ35" i="10" l="1"/>
  <c r="AK35" i="10"/>
  <c r="AK40" i="10"/>
  <c r="AJ40" i="10"/>
  <c r="AJ29" i="10"/>
  <c r="AK29" i="10"/>
  <c r="AK45" i="10"/>
  <c r="AJ45" i="10"/>
  <c r="AJ30" i="10"/>
  <c r="AK30" i="10"/>
  <c r="AK26" i="10"/>
  <c r="AJ26" i="10"/>
  <c r="AK37" i="10"/>
  <c r="AJ37" i="10"/>
  <c r="AK42" i="10"/>
  <c r="AJ42" i="10"/>
  <c r="AK38" i="10"/>
  <c r="AJ38" i="10"/>
  <c r="AK39" i="10"/>
  <c r="AJ39" i="10"/>
  <c r="AK44" i="10"/>
  <c r="AJ44" i="10"/>
  <c r="AK33" i="10"/>
  <c r="AJ33" i="10"/>
  <c r="AK32" i="10"/>
  <c r="AJ32" i="10"/>
  <c r="AJ27" i="10"/>
  <c r="AK27" i="10"/>
  <c r="AJ31" i="10"/>
  <c r="AK31" i="10"/>
  <c r="AJ25" i="10"/>
  <c r="AK25" i="10"/>
  <c r="AK34" i="10"/>
  <c r="AJ34" i="10"/>
  <c r="AJ43" i="10"/>
  <c r="AK43" i="10"/>
  <c r="AJ36" i="10"/>
  <c r="AK36" i="10"/>
  <c r="AK41" i="10"/>
  <c r="AJ41" i="10"/>
  <c r="AJ28" i="10"/>
  <c r="AK28" i="10"/>
  <c r="AM46" i="1"/>
  <c r="AN46" i="1"/>
  <c r="AN45" i="1"/>
  <c r="AM45" i="1"/>
  <c r="AM43" i="1"/>
  <c r="AN43" i="1"/>
  <c r="AN39" i="1"/>
  <c r="AM39" i="1"/>
  <c r="AM30" i="1"/>
  <c r="AN30" i="1"/>
  <c r="AN33" i="1"/>
  <c r="AM33" i="1"/>
  <c r="AM36" i="1"/>
  <c r="AN36" i="1"/>
  <c r="AM32" i="1"/>
  <c r="AN32" i="1"/>
  <c r="AN29" i="1"/>
  <c r="AM29" i="1"/>
  <c r="AN48" i="1"/>
  <c r="AM48" i="1"/>
  <c r="AM34" i="1"/>
  <c r="AN34" i="1"/>
  <c r="AN27" i="1"/>
  <c r="AM27" i="1"/>
  <c r="AN47" i="1"/>
  <c r="AM47" i="1"/>
  <c r="AM28" i="1"/>
  <c r="AN28" i="1"/>
  <c r="AM35" i="1"/>
  <c r="AN35" i="1"/>
  <c r="AN40" i="1"/>
  <c r="AM40" i="1"/>
  <c r="AM25" i="1"/>
  <c r="AN25" i="1"/>
  <c r="AN26" i="1"/>
  <c r="AM26" i="1"/>
  <c r="AM41" i="1"/>
  <c r="AN41" i="1"/>
  <c r="AN44" i="1"/>
  <c r="AM44" i="1"/>
  <c r="AM31" i="1"/>
  <c r="AN31" i="1"/>
  <c r="AM37" i="1"/>
  <c r="AN37" i="1"/>
  <c r="AM38" i="1"/>
  <c r="AN38" i="1"/>
  <c r="AN42" i="1"/>
  <c r="AM42" i="1"/>
  <c r="C89" i="10" l="1"/>
  <c r="B89" i="10"/>
  <c r="C90" i="1"/>
  <c r="B90" i="1"/>
  <c r="D89" i="10" l="1"/>
  <c r="E89" i="10"/>
  <c r="AL33" i="10"/>
  <c r="AL31" i="10"/>
  <c r="AL30" i="10"/>
  <c r="AL32" i="10"/>
  <c r="AL34" i="10"/>
  <c r="AL43" i="10"/>
  <c r="AL44" i="10"/>
  <c r="AL29" i="10"/>
  <c r="AL41" i="10"/>
  <c r="AL26" i="10"/>
  <c r="AL39" i="10"/>
  <c r="AL27" i="10"/>
  <c r="AL28" i="10"/>
  <c r="AL45" i="10"/>
  <c r="AL35" i="10"/>
  <c r="AL40" i="10"/>
  <c r="AL25" i="10"/>
  <c r="AL37" i="10"/>
  <c r="AL36" i="10"/>
  <c r="AL42" i="10"/>
  <c r="AL38" i="10"/>
  <c r="AL54" i="10"/>
  <c r="D90" i="1"/>
  <c r="E90" i="1"/>
  <c r="AO41" i="1"/>
  <c r="AO44" i="1"/>
  <c r="AO28" i="1"/>
  <c r="AO39" i="1"/>
  <c r="AO34" i="1"/>
  <c r="AO29" i="1"/>
  <c r="AO45" i="1"/>
  <c r="AO47" i="1"/>
  <c r="AO42" i="1"/>
  <c r="AO33" i="1"/>
  <c r="AO38" i="1"/>
  <c r="AO43" i="1"/>
  <c r="AO32" i="1"/>
  <c r="AO27" i="1"/>
  <c r="AO48" i="1"/>
  <c r="AO40" i="1"/>
  <c r="AO25" i="1"/>
  <c r="AO26" i="1"/>
  <c r="AO54" i="1"/>
  <c r="AO30" i="1"/>
  <c r="AO46" i="1"/>
  <c r="AO37" i="1"/>
  <c r="AO31" i="1"/>
  <c r="AO36" i="1"/>
  <c r="AO35" i="1"/>
  <c r="AM35" i="10" l="1"/>
  <c r="AN35" i="10"/>
  <c r="AN45" i="10"/>
  <c r="AM45" i="10"/>
  <c r="AN34" i="10"/>
  <c r="AM34" i="10"/>
  <c r="AN27" i="10"/>
  <c r="AM27" i="10"/>
  <c r="AN43" i="10"/>
  <c r="AM43" i="10"/>
  <c r="AN38" i="10"/>
  <c r="AM38" i="10"/>
  <c r="AN30" i="10"/>
  <c r="AM30" i="10"/>
  <c r="AN39" i="10"/>
  <c r="AM39" i="10"/>
  <c r="AN36" i="10"/>
  <c r="AM36" i="10"/>
  <c r="AN33" i="10"/>
  <c r="AM33" i="10"/>
  <c r="AN41" i="10"/>
  <c r="AM41" i="10"/>
  <c r="AN25" i="10"/>
  <c r="AM25" i="10"/>
  <c r="AN44" i="10"/>
  <c r="AM44" i="10"/>
  <c r="AM28" i="10"/>
  <c r="AN28" i="10"/>
  <c r="AM32" i="10"/>
  <c r="AN32" i="10"/>
  <c r="AN42" i="10"/>
  <c r="AM42" i="10"/>
  <c r="AN31" i="10"/>
  <c r="AM31" i="10"/>
  <c r="AN26" i="10"/>
  <c r="AM26" i="10"/>
  <c r="AN37" i="10"/>
  <c r="AM37" i="10"/>
  <c r="AM40" i="10"/>
  <c r="AN40" i="10"/>
  <c r="AN29" i="10"/>
  <c r="AM29" i="10"/>
  <c r="AQ29" i="1"/>
  <c r="AP29" i="1"/>
  <c r="AP35" i="1"/>
  <c r="AQ35" i="1"/>
  <c r="AQ48" i="1"/>
  <c r="AP48" i="1"/>
  <c r="AP34" i="1"/>
  <c r="AQ34" i="1"/>
  <c r="AQ40" i="1"/>
  <c r="AP40" i="1"/>
  <c r="AP27" i="1"/>
  <c r="AQ27" i="1"/>
  <c r="AQ28" i="1"/>
  <c r="AP28" i="1"/>
  <c r="AP43" i="1"/>
  <c r="AQ43" i="1"/>
  <c r="AQ30" i="1"/>
  <c r="AP30" i="1"/>
  <c r="AP25" i="1"/>
  <c r="AQ25" i="1"/>
  <c r="AP36" i="1"/>
  <c r="AQ36" i="1"/>
  <c r="AQ32" i="1"/>
  <c r="AP32" i="1"/>
  <c r="AQ44" i="1"/>
  <c r="AP44" i="1"/>
  <c r="AP38" i="1"/>
  <c r="AQ38" i="1"/>
  <c r="AP45" i="1"/>
  <c r="AQ45" i="1"/>
  <c r="AQ39" i="1"/>
  <c r="AP39" i="1"/>
  <c r="AP31" i="1"/>
  <c r="AQ31" i="1"/>
  <c r="AQ37" i="1"/>
  <c r="AP37" i="1"/>
  <c r="AP46" i="1"/>
  <c r="AQ46" i="1"/>
  <c r="AQ41" i="1"/>
  <c r="AP41" i="1"/>
  <c r="AQ33" i="1"/>
  <c r="AP33" i="1"/>
  <c r="AP42" i="1"/>
  <c r="AQ42" i="1"/>
  <c r="AP26" i="1"/>
  <c r="AQ26" i="1"/>
  <c r="AP47" i="1"/>
  <c r="AQ47" i="1"/>
  <c r="C91" i="1" l="1"/>
  <c r="AR40" i="1" s="1"/>
  <c r="B90" i="10"/>
  <c r="D90" i="10" s="1"/>
  <c r="C90" i="10"/>
  <c r="B91" i="1"/>
  <c r="AR42" i="1" s="1"/>
  <c r="E91" i="1"/>
  <c r="AR37" i="1"/>
  <c r="AR38" i="1"/>
  <c r="AR29" i="1"/>
  <c r="AR39" i="1"/>
  <c r="AR43" i="1"/>
  <c r="AR45" i="1"/>
  <c r="AR35" i="1"/>
  <c r="AR47" i="1"/>
  <c r="AR41" i="1"/>
  <c r="AR25" i="1" l="1"/>
  <c r="AR27" i="1"/>
  <c r="AR44" i="1"/>
  <c r="AS44" i="1" s="1"/>
  <c r="AR36" i="1"/>
  <c r="AT36" i="1" s="1"/>
  <c r="AR46" i="1"/>
  <c r="AS46" i="1" s="1"/>
  <c r="AR54" i="1"/>
  <c r="AR33" i="1"/>
  <c r="AT33" i="1" s="1"/>
  <c r="AR28" i="1"/>
  <c r="AT28" i="1" s="1"/>
  <c r="AR48" i="1"/>
  <c r="AS48" i="1" s="1"/>
  <c r="AR26" i="1"/>
  <c r="AT26" i="1" s="1"/>
  <c r="AR31" i="1"/>
  <c r="AT31" i="1" s="1"/>
  <c r="E90" i="10"/>
  <c r="AO32" i="10"/>
  <c r="AO33" i="10"/>
  <c r="AO30" i="10"/>
  <c r="AO31" i="10"/>
  <c r="AO34" i="10"/>
  <c r="AO41" i="10"/>
  <c r="AO28" i="10"/>
  <c r="AO25" i="10"/>
  <c r="AO35" i="10"/>
  <c r="AO43" i="10"/>
  <c r="AO44" i="10"/>
  <c r="AO39" i="10"/>
  <c r="AO36" i="10"/>
  <c r="AO42" i="10"/>
  <c r="AO26" i="10"/>
  <c r="AO38" i="10"/>
  <c r="AO45" i="10"/>
  <c r="AO40" i="10"/>
  <c r="AO27" i="10"/>
  <c r="AO37" i="10"/>
  <c r="AO29" i="10"/>
  <c r="AO54" i="10"/>
  <c r="AR32" i="1"/>
  <c r="AR30" i="1"/>
  <c r="AS30" i="1" s="1"/>
  <c r="AR34" i="1"/>
  <c r="AS34" i="1" s="1"/>
  <c r="AT45" i="1"/>
  <c r="AS45" i="1"/>
  <c r="AS43" i="1"/>
  <c r="AT43" i="1"/>
  <c r="AT27" i="1"/>
  <c r="AS27" i="1"/>
  <c r="AT39" i="1"/>
  <c r="AS39" i="1"/>
  <c r="AS25" i="1"/>
  <c r="AT25" i="1"/>
  <c r="AS41" i="1"/>
  <c r="AT41" i="1"/>
  <c r="AT44" i="1"/>
  <c r="AT42" i="1"/>
  <c r="AS42" i="1"/>
  <c r="AS40" i="1"/>
  <c r="AT40" i="1"/>
  <c r="AS38" i="1"/>
  <c r="AT38" i="1"/>
  <c r="AT30" i="1"/>
  <c r="AS29" i="1"/>
  <c r="AT29" i="1"/>
  <c r="AS47" i="1"/>
  <c r="AT47" i="1"/>
  <c r="AS32" i="1"/>
  <c r="AT32" i="1"/>
  <c r="AS37" i="1"/>
  <c r="AT37" i="1"/>
  <c r="AS35" i="1"/>
  <c r="AT35" i="1"/>
  <c r="D91" i="1"/>
  <c r="AS28" i="1" l="1"/>
  <c r="AT46" i="1"/>
  <c r="AS36" i="1"/>
  <c r="AS31" i="1"/>
  <c r="AT48" i="1"/>
  <c r="AS26" i="1"/>
  <c r="B92" i="1" s="1"/>
  <c r="D92" i="1" s="1"/>
  <c r="AS33" i="1"/>
  <c r="AT34" i="1"/>
  <c r="C92" i="1" s="1"/>
  <c r="E92" i="1" s="1"/>
  <c r="AQ45" i="10"/>
  <c r="AP45" i="10"/>
  <c r="AQ38" i="10"/>
  <c r="AP38" i="10"/>
  <c r="AQ26" i="10"/>
  <c r="AP26" i="10"/>
  <c r="AQ35" i="10"/>
  <c r="AP35" i="10"/>
  <c r="AQ41" i="10"/>
  <c r="AP41" i="10"/>
  <c r="AP29" i="10"/>
  <c r="AQ29" i="10"/>
  <c r="AP31" i="10"/>
  <c r="AQ31" i="10"/>
  <c r="AQ36" i="10"/>
  <c r="AP36" i="10"/>
  <c r="AP32" i="10"/>
  <c r="AQ32" i="10"/>
  <c r="AP25" i="10"/>
  <c r="AQ25" i="10"/>
  <c r="AQ28" i="10"/>
  <c r="AP28" i="10"/>
  <c r="AP34" i="10"/>
  <c r="AQ34" i="10"/>
  <c r="AQ42" i="10"/>
  <c r="AP42" i="10"/>
  <c r="AQ37" i="10"/>
  <c r="AP37" i="10"/>
  <c r="AP30" i="10"/>
  <c r="AQ30" i="10"/>
  <c r="AQ39" i="10"/>
  <c r="AP39" i="10"/>
  <c r="AP33" i="10"/>
  <c r="AQ33" i="10"/>
  <c r="AQ27" i="10"/>
  <c r="AP27" i="10"/>
  <c r="AQ44" i="10"/>
  <c r="AP44" i="10"/>
  <c r="AQ40" i="10"/>
  <c r="AP40" i="10"/>
  <c r="AQ43" i="10"/>
  <c r="AP43" i="10"/>
  <c r="AU35" i="1" l="1"/>
  <c r="AU40" i="1"/>
  <c r="AU38" i="1"/>
  <c r="AW38" i="1" s="1"/>
  <c r="AU27" i="1"/>
  <c r="AW27" i="1" s="1"/>
  <c r="AU43" i="1"/>
  <c r="AU41" i="1"/>
  <c r="AU31" i="1"/>
  <c r="AW31" i="1" s="1"/>
  <c r="AU25" i="1"/>
  <c r="AW25" i="1" s="1"/>
  <c r="AU44" i="1"/>
  <c r="AV44" i="1" s="1"/>
  <c r="C91" i="10"/>
  <c r="B91" i="10"/>
  <c r="AU33" i="1"/>
  <c r="AV33" i="1" s="1"/>
  <c r="AU26" i="1"/>
  <c r="AU39" i="1"/>
  <c r="AU32" i="1"/>
  <c r="AW32" i="1" s="1"/>
  <c r="AU30" i="1"/>
  <c r="AW30" i="1" s="1"/>
  <c r="AU42" i="1"/>
  <c r="AV42" i="1" s="1"/>
  <c r="AU37" i="1"/>
  <c r="AW37" i="1" s="1"/>
  <c r="AU45" i="1"/>
  <c r="AV45" i="1" s="1"/>
  <c r="AU29" i="1"/>
  <c r="AV29" i="1" s="1"/>
  <c r="AU54" i="1"/>
  <c r="AU48" i="1"/>
  <c r="AW48" i="1" s="1"/>
  <c r="AU46" i="1"/>
  <c r="AW46" i="1" s="1"/>
  <c r="AU28" i="1"/>
  <c r="AW28" i="1" s="1"/>
  <c r="AU47" i="1"/>
  <c r="AW47" i="1" s="1"/>
  <c r="AU36" i="1"/>
  <c r="AW36" i="1" s="1"/>
  <c r="AU34" i="1"/>
  <c r="AW34" i="1" s="1"/>
  <c r="AV41" i="1"/>
  <c r="AW41" i="1"/>
  <c r="AV31" i="1"/>
  <c r="AW35" i="1"/>
  <c r="AV35" i="1"/>
  <c r="AV40" i="1"/>
  <c r="AW40" i="1"/>
  <c r="AW39" i="1"/>
  <c r="AV39" i="1"/>
  <c r="AV38" i="1"/>
  <c r="AW42" i="1"/>
  <c r="AV27" i="1"/>
  <c r="AW33" i="1"/>
  <c r="AW26" i="1"/>
  <c r="AV26" i="1"/>
  <c r="AV43" i="1"/>
  <c r="AW43" i="1"/>
  <c r="AV32" i="1" l="1"/>
  <c r="AW44" i="1"/>
  <c r="AV25" i="1"/>
  <c r="AV30" i="1"/>
  <c r="AV37" i="1"/>
  <c r="D91" i="10"/>
  <c r="E91" i="10"/>
  <c r="AR31" i="10"/>
  <c r="AR34" i="10"/>
  <c r="AR33" i="10"/>
  <c r="AR32" i="10"/>
  <c r="AR30" i="10"/>
  <c r="AR28" i="10"/>
  <c r="AR37" i="10"/>
  <c r="AR25" i="10"/>
  <c r="AR35" i="10"/>
  <c r="AR29" i="10"/>
  <c r="AR43" i="10"/>
  <c r="AR45" i="10"/>
  <c r="AR27" i="10"/>
  <c r="AR44" i="10"/>
  <c r="AR42" i="10"/>
  <c r="AR41" i="10"/>
  <c r="AR26" i="10"/>
  <c r="AR40" i="10"/>
  <c r="AR36" i="10"/>
  <c r="AR38" i="10"/>
  <c r="AR39" i="10"/>
  <c r="AR54" i="10"/>
  <c r="AV36" i="1"/>
  <c r="AW45" i="1"/>
  <c r="AV48" i="1"/>
  <c r="AV28" i="1"/>
  <c r="AW29" i="1"/>
  <c r="AV46" i="1"/>
  <c r="AV34" i="1"/>
  <c r="AV47" i="1"/>
  <c r="C93" i="1" l="1"/>
  <c r="B93" i="1"/>
  <c r="AS45" i="10"/>
  <c r="AT45" i="10"/>
  <c r="AT28" i="10"/>
  <c r="AS28" i="10"/>
  <c r="AT30" i="10"/>
  <c r="AS30" i="10"/>
  <c r="AT32" i="10"/>
  <c r="AS32" i="10"/>
  <c r="AT43" i="10"/>
  <c r="AS43" i="10"/>
  <c r="AS36" i="10"/>
  <c r="AT36" i="10"/>
  <c r="AT34" i="10"/>
  <c r="AS34" i="10"/>
  <c r="AT35" i="10"/>
  <c r="AS35" i="10"/>
  <c r="AT41" i="10"/>
  <c r="AS41" i="10"/>
  <c r="AS44" i="10"/>
  <c r="AT44" i="10"/>
  <c r="AS27" i="10"/>
  <c r="AT27" i="10"/>
  <c r="AT39" i="10"/>
  <c r="AS39" i="10"/>
  <c r="AT38" i="10"/>
  <c r="AS38" i="10"/>
  <c r="AT33" i="10"/>
  <c r="AS33" i="10"/>
  <c r="AT29" i="10"/>
  <c r="AS29" i="10"/>
  <c r="AT40" i="10"/>
  <c r="AS40" i="10"/>
  <c r="AT31" i="10"/>
  <c r="AS31" i="10"/>
  <c r="AS26" i="10"/>
  <c r="AT26" i="10"/>
  <c r="AT25" i="10"/>
  <c r="AS25" i="10"/>
  <c r="AS37" i="10"/>
  <c r="AT37" i="10"/>
  <c r="AT42" i="10"/>
  <c r="AS42" i="10"/>
  <c r="E93" i="1"/>
  <c r="AX54" i="1"/>
  <c r="AX26" i="1"/>
  <c r="AX47" i="1"/>
  <c r="AX42" i="1"/>
  <c r="AX33" i="1"/>
  <c r="AX46" i="1"/>
  <c r="AX31" i="1"/>
  <c r="AX36" i="1"/>
  <c r="AX32" i="1"/>
  <c r="AX45" i="1"/>
  <c r="AX29" i="1"/>
  <c r="AX40" i="1"/>
  <c r="AX41" i="1"/>
  <c r="AX39" i="1"/>
  <c r="AX27" i="1"/>
  <c r="AX30" i="1"/>
  <c r="AX43" i="1"/>
  <c r="AX48" i="1"/>
  <c r="AX28" i="1"/>
  <c r="AX37" i="1"/>
  <c r="AX44" i="1"/>
  <c r="AX34" i="1"/>
  <c r="AX35" i="1"/>
  <c r="AX38" i="1"/>
  <c r="AX25" i="1"/>
  <c r="D93" i="1"/>
  <c r="B92" i="10" l="1"/>
  <c r="C92" i="10"/>
  <c r="AZ48" i="1"/>
  <c r="AY48" i="1"/>
  <c r="AZ36" i="1"/>
  <c r="AY36" i="1"/>
  <c r="AY43" i="1"/>
  <c r="AZ43" i="1"/>
  <c r="AY31" i="1"/>
  <c r="AZ31" i="1"/>
  <c r="AY28" i="1"/>
  <c r="AZ28" i="1"/>
  <c r="AY30" i="1"/>
  <c r="AZ30" i="1"/>
  <c r="AY33" i="1"/>
  <c r="AZ33" i="1"/>
  <c r="AZ42" i="1"/>
  <c r="AY42" i="1"/>
  <c r="AZ35" i="1"/>
  <c r="AY35" i="1"/>
  <c r="AZ34" i="1"/>
  <c r="AY34" i="1"/>
  <c r="AY40" i="1"/>
  <c r="AZ40" i="1"/>
  <c r="AZ26" i="1"/>
  <c r="AY26" i="1"/>
  <c r="AY32" i="1"/>
  <c r="AZ32" i="1"/>
  <c r="AZ27" i="1"/>
  <c r="AY27" i="1"/>
  <c r="AZ38" i="1"/>
  <c r="AY38" i="1"/>
  <c r="AY41" i="1"/>
  <c r="AZ41" i="1"/>
  <c r="AY44" i="1"/>
  <c r="AZ44" i="1"/>
  <c r="AZ29" i="1"/>
  <c r="AY29" i="1"/>
  <c r="AZ46" i="1"/>
  <c r="AY46" i="1"/>
  <c r="AZ25" i="1"/>
  <c r="AY25" i="1"/>
  <c r="AY39" i="1"/>
  <c r="AZ39" i="1"/>
  <c r="AZ47" i="1"/>
  <c r="AY47" i="1"/>
  <c r="AY37" i="1"/>
  <c r="AZ37" i="1"/>
  <c r="AY45" i="1"/>
  <c r="AZ45" i="1"/>
  <c r="E92" i="10" l="1"/>
  <c r="AU33" i="10"/>
  <c r="AU30" i="10"/>
  <c r="AU32" i="10"/>
  <c r="AU31" i="10"/>
  <c r="AU34" i="10"/>
  <c r="AU26" i="10"/>
  <c r="AU36" i="10"/>
  <c r="AU29" i="10"/>
  <c r="AU44" i="10"/>
  <c r="AU27" i="10"/>
  <c r="AU45" i="10"/>
  <c r="AU38" i="10"/>
  <c r="AU35" i="10"/>
  <c r="AU40" i="10"/>
  <c r="AU39" i="10"/>
  <c r="AU41" i="10"/>
  <c r="AU37" i="10"/>
  <c r="AU25" i="10"/>
  <c r="AU42" i="10"/>
  <c r="AU43" i="10"/>
  <c r="AU28" i="10"/>
  <c r="AU54" i="10"/>
  <c r="D92" i="10"/>
  <c r="B94" i="1"/>
  <c r="D94" i="1" s="1"/>
  <c r="C94" i="1"/>
  <c r="AV26" i="10" l="1"/>
  <c r="AW26" i="10"/>
  <c r="AV37" i="10"/>
  <c r="AW37" i="10"/>
  <c r="AV41" i="10"/>
  <c r="AW41" i="10"/>
  <c r="AW39" i="10"/>
  <c r="AV39" i="10"/>
  <c r="AW34" i="10"/>
  <c r="AV34" i="10"/>
  <c r="AW38" i="10"/>
  <c r="AV38" i="10"/>
  <c r="AW28" i="10"/>
  <c r="AV28" i="10"/>
  <c r="AW32" i="10"/>
  <c r="AV32" i="10"/>
  <c r="AW27" i="10"/>
  <c r="AV27" i="10"/>
  <c r="AW42" i="10"/>
  <c r="AV42" i="10"/>
  <c r="AW44" i="10"/>
  <c r="AV44" i="10"/>
  <c r="AV33" i="10"/>
  <c r="AW33" i="10"/>
  <c r="AV36" i="10"/>
  <c r="AW36" i="10"/>
  <c r="AW40" i="10"/>
  <c r="AV40" i="10"/>
  <c r="AW35" i="10"/>
  <c r="AV35" i="10"/>
  <c r="AW31" i="10"/>
  <c r="AV31" i="10"/>
  <c r="AW45" i="10"/>
  <c r="AV45" i="10"/>
  <c r="AW43" i="10"/>
  <c r="AV43" i="10"/>
  <c r="AW30" i="10"/>
  <c r="AV30" i="10"/>
  <c r="AW25" i="10"/>
  <c r="AV25" i="10"/>
  <c r="AW29" i="10"/>
  <c r="AV29" i="10"/>
  <c r="E94" i="1"/>
  <c r="BA44" i="1"/>
  <c r="BA34" i="1"/>
  <c r="BA31" i="1"/>
  <c r="BA28" i="1"/>
  <c r="BA32" i="1"/>
  <c r="BA41" i="1"/>
  <c r="BA35" i="1"/>
  <c r="BA26" i="1"/>
  <c r="BA47" i="1"/>
  <c r="BA25" i="1"/>
  <c r="BA38" i="1"/>
  <c r="BA33" i="1"/>
  <c r="BA48" i="1"/>
  <c r="BA42" i="1"/>
  <c r="BA36" i="1"/>
  <c r="BA45" i="1"/>
  <c r="BA46" i="1"/>
  <c r="BA30" i="1"/>
  <c r="BA39" i="1"/>
  <c r="BA29" i="1"/>
  <c r="BA37" i="1"/>
  <c r="BA40" i="1"/>
  <c r="BA43" i="1"/>
  <c r="BA54" i="1"/>
  <c r="BA27" i="1"/>
  <c r="C93" i="10" l="1"/>
  <c r="B93" i="10"/>
  <c r="BC26" i="1"/>
  <c r="BB26" i="1"/>
  <c r="BC46" i="1"/>
  <c r="BB46" i="1"/>
  <c r="BB35" i="1"/>
  <c r="BC35" i="1"/>
  <c r="BB45" i="1"/>
  <c r="BC45" i="1"/>
  <c r="BC36" i="1"/>
  <c r="BB36" i="1"/>
  <c r="BC40" i="1"/>
  <c r="BB40" i="1"/>
  <c r="BB33" i="1"/>
  <c r="BC33" i="1"/>
  <c r="BC34" i="1"/>
  <c r="BB34" i="1"/>
  <c r="BC39" i="1"/>
  <c r="BB39" i="1"/>
  <c r="BB41" i="1"/>
  <c r="BC41" i="1"/>
  <c r="BC27" i="1"/>
  <c r="BB27" i="1"/>
  <c r="BB42" i="1"/>
  <c r="BC42" i="1"/>
  <c r="BC48" i="1"/>
  <c r="BB48" i="1"/>
  <c r="BB37" i="1"/>
  <c r="BC37" i="1"/>
  <c r="BC38" i="1"/>
  <c r="BB38" i="1"/>
  <c r="BB44" i="1"/>
  <c r="BC44" i="1"/>
  <c r="BC47" i="1"/>
  <c r="BB47" i="1"/>
  <c r="BC30" i="1"/>
  <c r="BB30" i="1"/>
  <c r="BC32" i="1"/>
  <c r="BB32" i="1"/>
  <c r="BC28" i="1"/>
  <c r="BB28" i="1"/>
  <c r="BC43" i="1"/>
  <c r="BB43" i="1"/>
  <c r="BC31" i="1"/>
  <c r="BB31" i="1"/>
  <c r="BB29" i="1"/>
  <c r="BC29" i="1"/>
  <c r="BC25" i="1"/>
  <c r="BB25" i="1"/>
  <c r="D93" i="10" l="1"/>
  <c r="E93" i="10"/>
  <c r="AX31" i="10"/>
  <c r="AX32" i="10"/>
  <c r="AX34" i="10"/>
  <c r="AX30" i="10"/>
  <c r="AX33" i="10"/>
  <c r="AX37" i="10"/>
  <c r="AX26" i="10"/>
  <c r="AX25" i="10"/>
  <c r="AX40" i="10"/>
  <c r="AX43" i="10"/>
  <c r="AX44" i="10"/>
  <c r="AX35" i="10"/>
  <c r="AX41" i="10"/>
  <c r="AX36" i="10"/>
  <c r="AX28" i="10"/>
  <c r="AX39" i="10"/>
  <c r="AX42" i="10"/>
  <c r="AX27" i="10"/>
  <c r="AX38" i="10"/>
  <c r="AX29" i="10"/>
  <c r="AX45" i="10"/>
  <c r="AX54" i="10"/>
  <c r="B95" i="1"/>
  <c r="C95" i="1"/>
  <c r="AZ42" i="10" l="1"/>
  <c r="AY42" i="10"/>
  <c r="AY26" i="10"/>
  <c r="AZ26" i="10"/>
  <c r="AZ45" i="10"/>
  <c r="AY45" i="10"/>
  <c r="AZ29" i="10"/>
  <c r="AY29" i="10"/>
  <c r="AZ37" i="10"/>
  <c r="AY37" i="10"/>
  <c r="AZ33" i="10"/>
  <c r="AY33" i="10"/>
  <c r="AY30" i="10"/>
  <c r="AZ30" i="10"/>
  <c r="AZ34" i="10"/>
  <c r="AY34" i="10"/>
  <c r="AY35" i="10"/>
  <c r="AZ35" i="10"/>
  <c r="AZ31" i="10"/>
  <c r="AY31" i="10"/>
  <c r="AZ43" i="10"/>
  <c r="AY43" i="10"/>
  <c r="AZ40" i="10"/>
  <c r="AY40" i="10"/>
  <c r="AZ39" i="10"/>
  <c r="AY39" i="10"/>
  <c r="AY28" i="10"/>
  <c r="AZ28" i="10"/>
  <c r="AY36" i="10"/>
  <c r="AZ36" i="10"/>
  <c r="AZ41" i="10"/>
  <c r="AY41" i="10"/>
  <c r="AZ32" i="10"/>
  <c r="AY32" i="10"/>
  <c r="AZ44" i="10"/>
  <c r="AY44" i="10"/>
  <c r="AZ38" i="10"/>
  <c r="AY38" i="10"/>
  <c r="AZ27" i="10"/>
  <c r="AY27" i="10"/>
  <c r="AZ25" i="10"/>
  <c r="AY25" i="10"/>
  <c r="E95" i="1"/>
  <c r="BD36" i="1"/>
  <c r="BD44" i="1"/>
  <c r="BD34" i="1"/>
  <c r="BD47" i="1"/>
  <c r="BD48" i="1"/>
  <c r="BD28" i="1"/>
  <c r="BD41" i="1"/>
  <c r="BD29" i="1"/>
  <c r="BD46" i="1"/>
  <c r="BD27" i="1"/>
  <c r="BD40" i="1"/>
  <c r="BD33" i="1"/>
  <c r="BD42" i="1"/>
  <c r="BD54" i="1"/>
  <c r="BD32" i="1"/>
  <c r="BD30" i="1"/>
  <c r="BD26" i="1"/>
  <c r="BD25" i="1"/>
  <c r="BD45" i="1"/>
  <c r="BD39" i="1"/>
  <c r="BD35" i="1"/>
  <c r="BD38" i="1"/>
  <c r="BD43" i="1"/>
  <c r="BD31" i="1"/>
  <c r="BD37" i="1"/>
  <c r="D95" i="1"/>
  <c r="B94" i="10" l="1"/>
  <c r="C94" i="10"/>
  <c r="BF46" i="1"/>
  <c r="BE46" i="1"/>
  <c r="BF41" i="1"/>
  <c r="BE41" i="1"/>
  <c r="BE45" i="1"/>
  <c r="BF45" i="1"/>
  <c r="BE30" i="1"/>
  <c r="BF30" i="1"/>
  <c r="BE32" i="1"/>
  <c r="BF32" i="1"/>
  <c r="BF31" i="1"/>
  <c r="BE31" i="1"/>
  <c r="BE44" i="1"/>
  <c r="BF44" i="1"/>
  <c r="BF25" i="1"/>
  <c r="BE25" i="1"/>
  <c r="BF26" i="1"/>
  <c r="BE26" i="1"/>
  <c r="BF28" i="1"/>
  <c r="BE28" i="1"/>
  <c r="BE48" i="1"/>
  <c r="BF48" i="1"/>
  <c r="BE47" i="1"/>
  <c r="BF47" i="1"/>
  <c r="BE42" i="1"/>
  <c r="BF42" i="1"/>
  <c r="BE35" i="1"/>
  <c r="BF35" i="1"/>
  <c r="BE36" i="1"/>
  <c r="BF36" i="1"/>
  <c r="BF29" i="1"/>
  <c r="BE29" i="1"/>
  <c r="BE37" i="1"/>
  <c r="BF37" i="1"/>
  <c r="BF43" i="1"/>
  <c r="BE43" i="1"/>
  <c r="BE34" i="1"/>
  <c r="BF34" i="1"/>
  <c r="BE38" i="1"/>
  <c r="BF38" i="1"/>
  <c r="BE33" i="1"/>
  <c r="BF33" i="1"/>
  <c r="BE40" i="1"/>
  <c r="BF40" i="1"/>
  <c r="BE39" i="1"/>
  <c r="BF39" i="1"/>
  <c r="BF27" i="1"/>
  <c r="BE27" i="1"/>
  <c r="E94" i="10" l="1"/>
  <c r="BA31" i="10"/>
  <c r="BA33" i="10"/>
  <c r="BA34" i="10"/>
  <c r="BA32" i="10"/>
  <c r="BA30" i="10"/>
  <c r="BA38" i="10"/>
  <c r="BA28" i="10"/>
  <c r="BA42" i="10"/>
  <c r="BA41" i="10"/>
  <c r="BA45" i="10"/>
  <c r="BA40" i="10"/>
  <c r="BA27" i="10"/>
  <c r="BA26" i="10"/>
  <c r="BA25" i="10"/>
  <c r="BA36" i="10"/>
  <c r="BA39" i="10"/>
  <c r="BA29" i="10"/>
  <c r="BA44" i="10"/>
  <c r="BA35" i="10"/>
  <c r="BA43" i="10"/>
  <c r="BA37" i="10"/>
  <c r="BA54" i="10"/>
  <c r="D94" i="10"/>
  <c r="B96" i="1"/>
  <c r="C96" i="1"/>
  <c r="BC28" i="10" l="1"/>
  <c r="BB28" i="10"/>
  <c r="BC26" i="10"/>
  <c r="BB26" i="10"/>
  <c r="BB41" i="10"/>
  <c r="BC41" i="10"/>
  <c r="BC36" i="10"/>
  <c r="BB36" i="10"/>
  <c r="BC25" i="10"/>
  <c r="BB25" i="10"/>
  <c r="BB37" i="10"/>
  <c r="BC37" i="10"/>
  <c r="BC32" i="10"/>
  <c r="BB32" i="10"/>
  <c r="BC35" i="10"/>
  <c r="BB35" i="10"/>
  <c r="BC33" i="10"/>
  <c r="BB33" i="10"/>
  <c r="BC44" i="10"/>
  <c r="BB44" i="10"/>
  <c r="BB45" i="10"/>
  <c r="BC45" i="10"/>
  <c r="BC31" i="10"/>
  <c r="BB31" i="10"/>
  <c r="BB39" i="10"/>
  <c r="BC39" i="10"/>
  <c r="BC42" i="10"/>
  <c r="BB42" i="10"/>
  <c r="BB38" i="10"/>
  <c r="BC38" i="10"/>
  <c r="BC30" i="10"/>
  <c r="BB30" i="10"/>
  <c r="BB27" i="10"/>
  <c r="BC27" i="10"/>
  <c r="BC43" i="10"/>
  <c r="BB43" i="10"/>
  <c r="BC34" i="10"/>
  <c r="BB34" i="10"/>
  <c r="BB40" i="10"/>
  <c r="BC40" i="10"/>
  <c r="BC29" i="10"/>
  <c r="BB29" i="10"/>
  <c r="E96" i="1"/>
  <c r="BG48" i="1"/>
  <c r="BG35" i="1"/>
  <c r="BG29" i="1"/>
  <c r="BG28" i="1"/>
  <c r="BG43" i="1"/>
  <c r="BG25" i="1"/>
  <c r="BG32" i="1"/>
  <c r="BG40" i="1"/>
  <c r="BG47" i="1"/>
  <c r="BG36" i="1"/>
  <c r="BG42" i="1"/>
  <c r="BG33" i="1"/>
  <c r="BG30" i="1"/>
  <c r="BG41" i="1"/>
  <c r="BG27" i="1"/>
  <c r="BG39" i="1"/>
  <c r="BG37" i="1"/>
  <c r="BG38" i="1"/>
  <c r="BG46" i="1"/>
  <c r="BG34" i="1"/>
  <c r="BG44" i="1"/>
  <c r="BG54" i="1"/>
  <c r="BG26" i="1"/>
  <c r="BG45" i="1"/>
  <c r="BG31" i="1"/>
  <c r="D96" i="1"/>
  <c r="B95" i="10" l="1"/>
  <c r="C95" i="10"/>
  <c r="BH46" i="1"/>
  <c r="BI46" i="1"/>
  <c r="BI32" i="1"/>
  <c r="BH32" i="1"/>
  <c r="BI25" i="1"/>
  <c r="BH25" i="1"/>
  <c r="BH31" i="1"/>
  <c r="BI31" i="1"/>
  <c r="BI45" i="1"/>
  <c r="BH45" i="1"/>
  <c r="BH26" i="1"/>
  <c r="BI26" i="1"/>
  <c r="BI33" i="1"/>
  <c r="BH33" i="1"/>
  <c r="BI35" i="1"/>
  <c r="BH35" i="1"/>
  <c r="BI38" i="1"/>
  <c r="BH38" i="1"/>
  <c r="BH37" i="1"/>
  <c r="BI37" i="1"/>
  <c r="BH43" i="1"/>
  <c r="BI43" i="1"/>
  <c r="BH28" i="1"/>
  <c r="BI28" i="1"/>
  <c r="BH30" i="1"/>
  <c r="BI30" i="1"/>
  <c r="BH48" i="1"/>
  <c r="BI48" i="1"/>
  <c r="BI47" i="1"/>
  <c r="BH47" i="1"/>
  <c r="BH40" i="1"/>
  <c r="BI40" i="1"/>
  <c r="BH39" i="1"/>
  <c r="BI39" i="1"/>
  <c r="BH27" i="1"/>
  <c r="BI27" i="1"/>
  <c r="BH41" i="1"/>
  <c r="BI41" i="1"/>
  <c r="BH29" i="1"/>
  <c r="BI29" i="1"/>
  <c r="BH44" i="1"/>
  <c r="BI44" i="1"/>
  <c r="BI42" i="1"/>
  <c r="BH42" i="1"/>
  <c r="BH34" i="1"/>
  <c r="BI34" i="1"/>
  <c r="BH36" i="1"/>
  <c r="BI36" i="1"/>
  <c r="E95" i="10" l="1"/>
  <c r="BD34" i="10"/>
  <c r="BD31" i="10"/>
  <c r="BD32" i="10"/>
  <c r="BD30" i="10"/>
  <c r="BD33" i="10"/>
  <c r="BD27" i="10"/>
  <c r="BD39" i="10"/>
  <c r="BD25" i="10"/>
  <c r="BD29" i="10"/>
  <c r="BD37" i="10"/>
  <c r="BD43" i="10"/>
  <c r="BD35" i="10"/>
  <c r="BD28" i="10"/>
  <c r="BD38" i="10"/>
  <c r="BD26" i="10"/>
  <c r="BD45" i="10"/>
  <c r="BD36" i="10"/>
  <c r="BD42" i="10"/>
  <c r="BD40" i="10"/>
  <c r="BD44" i="10"/>
  <c r="BD41" i="10"/>
  <c r="BD54" i="10"/>
  <c r="D95" i="10"/>
  <c r="B97" i="1"/>
  <c r="C97" i="1"/>
  <c r="BE45" i="10" l="1"/>
  <c r="BF45" i="10"/>
  <c r="BF39" i="10"/>
  <c r="BE39" i="10"/>
  <c r="BF28" i="10"/>
  <c r="BE28" i="10"/>
  <c r="BF33" i="10"/>
  <c r="BE33" i="10"/>
  <c r="BF30" i="10"/>
  <c r="BE30" i="10"/>
  <c r="BF32" i="10"/>
  <c r="BE32" i="10"/>
  <c r="BF31" i="10"/>
  <c r="BE31" i="10"/>
  <c r="BF26" i="10"/>
  <c r="BE26" i="10"/>
  <c r="BF27" i="10"/>
  <c r="BE27" i="10"/>
  <c r="BF41" i="10"/>
  <c r="BE41" i="10"/>
  <c r="BE44" i="10"/>
  <c r="BF44" i="10"/>
  <c r="BF40" i="10"/>
  <c r="BE40" i="10"/>
  <c r="BE34" i="10"/>
  <c r="BF34" i="10"/>
  <c r="BF38" i="10"/>
  <c r="BE38" i="10"/>
  <c r="BE35" i="10"/>
  <c r="BF35" i="10"/>
  <c r="BE43" i="10"/>
  <c r="BF43" i="10"/>
  <c r="BF37" i="10"/>
  <c r="BE37" i="10"/>
  <c r="BF29" i="10"/>
  <c r="BE29" i="10"/>
  <c r="BE42" i="10"/>
  <c r="BF42" i="10"/>
  <c r="BF36" i="10"/>
  <c r="BE36" i="10"/>
  <c r="BE25" i="10"/>
  <c r="BF25" i="10"/>
  <c r="E97" i="1"/>
  <c r="BJ42" i="1"/>
  <c r="BJ31" i="1"/>
  <c r="BJ38" i="1"/>
  <c r="BJ45" i="1"/>
  <c r="BJ54" i="1"/>
  <c r="BJ44" i="1"/>
  <c r="BJ33" i="1"/>
  <c r="BJ36" i="1"/>
  <c r="BJ47" i="1"/>
  <c r="BJ30" i="1"/>
  <c r="BJ43" i="1"/>
  <c r="BJ32" i="1"/>
  <c r="BJ27" i="1"/>
  <c r="BJ29" i="1"/>
  <c r="BJ34" i="1"/>
  <c r="BJ40" i="1"/>
  <c r="BJ28" i="1"/>
  <c r="BJ25" i="1"/>
  <c r="BJ26" i="1"/>
  <c r="BJ37" i="1"/>
  <c r="BJ39" i="1"/>
  <c r="BJ48" i="1"/>
  <c r="BJ41" i="1"/>
  <c r="BJ35" i="1"/>
  <c r="BJ46" i="1"/>
  <c r="D97" i="1"/>
  <c r="C96" i="10" l="1"/>
  <c r="B96" i="10"/>
  <c r="BK36" i="1"/>
  <c r="BL36" i="1"/>
  <c r="BK33" i="1"/>
  <c r="BL33" i="1"/>
  <c r="BK44" i="1"/>
  <c r="BL44" i="1"/>
  <c r="BL34" i="1"/>
  <c r="BK34" i="1"/>
  <c r="BK35" i="1"/>
  <c r="BL35" i="1"/>
  <c r="BL41" i="1"/>
  <c r="BK41" i="1"/>
  <c r="BL31" i="1"/>
  <c r="BK31" i="1"/>
  <c r="BL26" i="1"/>
  <c r="BK26" i="1"/>
  <c r="BL28" i="1"/>
  <c r="BK28" i="1"/>
  <c r="BL40" i="1"/>
  <c r="BK40" i="1"/>
  <c r="BL46" i="1"/>
  <c r="BK46" i="1"/>
  <c r="BK45" i="1"/>
  <c r="BL45" i="1"/>
  <c r="BK38" i="1"/>
  <c r="BL38" i="1"/>
  <c r="BL39" i="1"/>
  <c r="BK39" i="1"/>
  <c r="BK42" i="1"/>
  <c r="BL42" i="1"/>
  <c r="BK47" i="1"/>
  <c r="BL47" i="1"/>
  <c r="BL25" i="1"/>
  <c r="BK25" i="1"/>
  <c r="BK29" i="1"/>
  <c r="BL29" i="1"/>
  <c r="BK27" i="1"/>
  <c r="BL27" i="1"/>
  <c r="BK48" i="1"/>
  <c r="BL48" i="1"/>
  <c r="BK32" i="1"/>
  <c r="BL32" i="1"/>
  <c r="BL43" i="1"/>
  <c r="BK43" i="1"/>
  <c r="BL37" i="1"/>
  <c r="BK37" i="1"/>
  <c r="BK30" i="1"/>
  <c r="BL30" i="1"/>
  <c r="D96" i="10" l="1"/>
  <c r="E96" i="10"/>
  <c r="BG30" i="10"/>
  <c r="BG31" i="10"/>
  <c r="BG32" i="10"/>
  <c r="BG33" i="10"/>
  <c r="BG34" i="10"/>
  <c r="BG36" i="10"/>
  <c r="BG39" i="10"/>
  <c r="BG28" i="10"/>
  <c r="BG42" i="10"/>
  <c r="BG41" i="10"/>
  <c r="BG35" i="10"/>
  <c r="BG27" i="10"/>
  <c r="BG29" i="10"/>
  <c r="BG25" i="10"/>
  <c r="BG37" i="10"/>
  <c r="BG45" i="10"/>
  <c r="BG38" i="10"/>
  <c r="BG40" i="10"/>
  <c r="BG26" i="10"/>
  <c r="BG43" i="10"/>
  <c r="BG44" i="10"/>
  <c r="BG54" i="10"/>
  <c r="C98" i="1"/>
  <c r="B98" i="1"/>
  <c r="BH34" i="10" l="1"/>
  <c r="BI34" i="10"/>
  <c r="BI25" i="10"/>
  <c r="BH25" i="10"/>
  <c r="BH44" i="10"/>
  <c r="BI44" i="10"/>
  <c r="BH33" i="10"/>
  <c r="BI33" i="10"/>
  <c r="BI35" i="10"/>
  <c r="BH35" i="10"/>
  <c r="BH26" i="10"/>
  <c r="BI26" i="10"/>
  <c r="BH31" i="10"/>
  <c r="BI31" i="10"/>
  <c r="BI42" i="10"/>
  <c r="BH42" i="10"/>
  <c r="BI40" i="10"/>
  <c r="BH40" i="10"/>
  <c r="BH39" i="10"/>
  <c r="BI39" i="10"/>
  <c r="BI37" i="10"/>
  <c r="BH37" i="10"/>
  <c r="BI29" i="10"/>
  <c r="BH29" i="10"/>
  <c r="BI27" i="10"/>
  <c r="BH27" i="10"/>
  <c r="BI43" i="10"/>
  <c r="BH43" i="10"/>
  <c r="BH32" i="10"/>
  <c r="BI32" i="10"/>
  <c r="BI41" i="10"/>
  <c r="BH41" i="10"/>
  <c r="BI30" i="10"/>
  <c r="BH30" i="10"/>
  <c r="BI28" i="10"/>
  <c r="BH28" i="10"/>
  <c r="BI38" i="10"/>
  <c r="BH38" i="10"/>
  <c r="BI45" i="10"/>
  <c r="BH45" i="10"/>
  <c r="BI36" i="10"/>
  <c r="BH36" i="10"/>
  <c r="D98" i="1"/>
  <c r="E98" i="1"/>
  <c r="BM25" i="1"/>
  <c r="BM41" i="1"/>
  <c r="BM38" i="1"/>
  <c r="BM31" i="1"/>
  <c r="BM44" i="1"/>
  <c r="BM48" i="1"/>
  <c r="BM42" i="1"/>
  <c r="BM28" i="1"/>
  <c r="BM29" i="1"/>
  <c r="BM27" i="1"/>
  <c r="BM33" i="1"/>
  <c r="BM40" i="1"/>
  <c r="BM30" i="1"/>
  <c r="BM37" i="1"/>
  <c r="BM46" i="1"/>
  <c r="BM43" i="1"/>
  <c r="BM39" i="1"/>
  <c r="BM26" i="1"/>
  <c r="BM54" i="1"/>
  <c r="BM36" i="1"/>
  <c r="BM32" i="1"/>
  <c r="BM47" i="1"/>
  <c r="BM45" i="1"/>
  <c r="BM34" i="1"/>
  <c r="BM35" i="1"/>
  <c r="C97" i="10" l="1"/>
  <c r="B97" i="10"/>
  <c r="BO39" i="1"/>
  <c r="BN39" i="1"/>
  <c r="BO35" i="1"/>
  <c r="BN35" i="1"/>
  <c r="BO46" i="1"/>
  <c r="BN46" i="1"/>
  <c r="BN44" i="1"/>
  <c r="BO44" i="1"/>
  <c r="BN42" i="1"/>
  <c r="BO42" i="1"/>
  <c r="BN31" i="1"/>
  <c r="BO31" i="1"/>
  <c r="BO38" i="1"/>
  <c r="BN38" i="1"/>
  <c r="BO41" i="1"/>
  <c r="BN41" i="1"/>
  <c r="BO43" i="1"/>
  <c r="BN43" i="1"/>
  <c r="BO37" i="1"/>
  <c r="BN37" i="1"/>
  <c r="BN30" i="1"/>
  <c r="BO30" i="1"/>
  <c r="BO40" i="1"/>
  <c r="BN40" i="1"/>
  <c r="BN33" i="1"/>
  <c r="BO33" i="1"/>
  <c r="BN36" i="1"/>
  <c r="BO36" i="1"/>
  <c r="BO29" i="1"/>
  <c r="BN29" i="1"/>
  <c r="BO48" i="1"/>
  <c r="BN48" i="1"/>
  <c r="BO34" i="1"/>
  <c r="BN34" i="1"/>
  <c r="BN45" i="1"/>
  <c r="BO45" i="1"/>
  <c r="BN47" i="1"/>
  <c r="BO47" i="1"/>
  <c r="BO32" i="1"/>
  <c r="BN32" i="1"/>
  <c r="BO25" i="1"/>
  <c r="BN25" i="1"/>
  <c r="BO27" i="1"/>
  <c r="BN27" i="1"/>
  <c r="BO26" i="1"/>
  <c r="BN26" i="1"/>
  <c r="BN28" i="1"/>
  <c r="BO28" i="1"/>
  <c r="D97" i="10" l="1"/>
  <c r="E97" i="10"/>
  <c r="BJ33" i="10"/>
  <c r="BJ34" i="10"/>
  <c r="BJ32" i="10"/>
  <c r="BJ30" i="10"/>
  <c r="BJ31" i="10"/>
  <c r="BJ37" i="10"/>
  <c r="BJ27" i="10"/>
  <c r="BJ45" i="10"/>
  <c r="BJ43" i="10"/>
  <c r="BJ28" i="10"/>
  <c r="BJ44" i="10"/>
  <c r="BJ35" i="10"/>
  <c r="BJ29" i="10"/>
  <c r="BJ42" i="10"/>
  <c r="BJ41" i="10"/>
  <c r="BJ36" i="10"/>
  <c r="BJ25" i="10"/>
  <c r="BJ40" i="10"/>
  <c r="BJ26" i="10"/>
  <c r="BJ39" i="10"/>
  <c r="BJ38" i="10"/>
  <c r="BJ54" i="10"/>
  <c r="B99" i="1"/>
  <c r="C99" i="1"/>
  <c r="C100" i="1"/>
  <c r="BL27" i="10" l="1"/>
  <c r="BK27" i="10"/>
  <c r="BL37" i="10"/>
  <c r="BK37" i="10"/>
  <c r="BL41" i="10"/>
  <c r="BK41" i="10"/>
  <c r="BL38" i="10"/>
  <c r="BK38" i="10"/>
  <c r="BL30" i="10"/>
  <c r="BK30" i="10"/>
  <c r="BL29" i="10"/>
  <c r="BK29" i="10"/>
  <c r="BL39" i="10"/>
  <c r="BK39" i="10"/>
  <c r="BL34" i="10"/>
  <c r="BK34" i="10"/>
  <c r="BL44" i="10"/>
  <c r="BK44" i="10"/>
  <c r="BL36" i="10"/>
  <c r="BK36" i="10"/>
  <c r="BL31" i="10"/>
  <c r="BK31" i="10"/>
  <c r="BL42" i="10"/>
  <c r="BK42" i="10"/>
  <c r="BL32" i="10"/>
  <c r="BK32" i="10"/>
  <c r="BL35" i="10"/>
  <c r="BK35" i="10"/>
  <c r="BL26" i="10"/>
  <c r="BK26" i="10"/>
  <c r="BL33" i="10"/>
  <c r="BK33" i="10"/>
  <c r="BL40" i="10"/>
  <c r="BK40" i="10"/>
  <c r="BK28" i="10"/>
  <c r="BL28" i="10"/>
  <c r="BK25" i="10"/>
  <c r="BL25" i="10"/>
  <c r="BL43" i="10"/>
  <c r="BK43" i="10"/>
  <c r="BL45" i="10"/>
  <c r="BK45" i="10"/>
  <c r="E100" i="1"/>
  <c r="E99" i="1"/>
  <c r="BP34" i="1"/>
  <c r="BP31" i="1"/>
  <c r="BP32" i="1"/>
  <c r="BP33" i="1"/>
  <c r="BP30" i="1"/>
  <c r="BP27" i="1"/>
  <c r="BP26" i="1"/>
  <c r="BP44" i="1"/>
  <c r="BP54" i="1"/>
  <c r="BP48" i="1"/>
  <c r="BP47" i="1"/>
  <c r="BP35" i="1"/>
  <c r="BP38" i="1"/>
  <c r="BP37" i="1"/>
  <c r="BP29" i="1"/>
  <c r="BP41" i="1"/>
  <c r="BP42" i="1"/>
  <c r="BP39" i="1"/>
  <c r="BP25" i="1"/>
  <c r="BP40" i="1"/>
  <c r="BP36" i="1"/>
  <c r="BP46" i="1"/>
  <c r="BP45" i="1"/>
  <c r="BP43" i="1"/>
  <c r="BP28" i="1"/>
  <c r="D99" i="1"/>
  <c r="B100" i="1"/>
  <c r="BS41" i="1" s="1"/>
  <c r="C98" i="10" l="1"/>
  <c r="B98" i="10"/>
  <c r="BS31" i="1"/>
  <c r="BS47" i="1"/>
  <c r="BT47" i="1" s="1"/>
  <c r="BS44" i="1"/>
  <c r="BT44" i="1" s="1"/>
  <c r="BS40" i="1"/>
  <c r="BT40" i="1" s="1"/>
  <c r="BS25" i="1"/>
  <c r="BT25" i="1" s="1"/>
  <c r="BS48" i="1"/>
  <c r="BU48" i="1" s="1"/>
  <c r="BS43" i="1"/>
  <c r="BU43" i="1" s="1"/>
  <c r="BS29" i="1"/>
  <c r="BU29" i="1" s="1"/>
  <c r="BS35" i="1"/>
  <c r="BT35" i="1" s="1"/>
  <c r="BS39" i="1"/>
  <c r="BU39" i="1" s="1"/>
  <c r="BS37" i="1"/>
  <c r="BS46" i="1"/>
  <c r="BU46" i="1" s="1"/>
  <c r="BU41" i="1"/>
  <c r="BT41" i="1"/>
  <c r="BT46" i="1"/>
  <c r="BQ31" i="1"/>
  <c r="BR31" i="1"/>
  <c r="BQ34" i="1"/>
  <c r="BR34" i="1"/>
  <c r="BR45" i="1"/>
  <c r="BQ45" i="1"/>
  <c r="BQ35" i="1"/>
  <c r="BR35" i="1"/>
  <c r="BQ36" i="1"/>
  <c r="BR36" i="1"/>
  <c r="BQ25" i="1"/>
  <c r="BR25" i="1"/>
  <c r="BU25" i="1"/>
  <c r="BQ44" i="1"/>
  <c r="BR44" i="1"/>
  <c r="BS54" i="1"/>
  <c r="BQ42" i="1"/>
  <c r="BR42" i="1"/>
  <c r="BS32" i="1"/>
  <c r="BS26" i="1"/>
  <c r="BS42" i="1"/>
  <c r="BQ38" i="1"/>
  <c r="BR38" i="1"/>
  <c r="BQ46" i="1"/>
  <c r="BR46" i="1"/>
  <c r="BQ40" i="1"/>
  <c r="BR40" i="1"/>
  <c r="BQ39" i="1"/>
  <c r="BR39" i="1"/>
  <c r="D100" i="1"/>
  <c r="BQ26" i="1"/>
  <c r="BR26" i="1"/>
  <c r="BS28" i="1"/>
  <c r="BR27" i="1"/>
  <c r="BQ27" i="1"/>
  <c r="BQ29" i="1"/>
  <c r="BR29" i="1"/>
  <c r="BQ30" i="1"/>
  <c r="BR30" i="1"/>
  <c r="BS34" i="1"/>
  <c r="BS33" i="1"/>
  <c r="BS38" i="1"/>
  <c r="BR32" i="1"/>
  <c r="BQ32" i="1"/>
  <c r="BU31" i="1"/>
  <c r="BT31" i="1"/>
  <c r="BQ47" i="1"/>
  <c r="BR47" i="1"/>
  <c r="BQ48" i="1"/>
  <c r="BR48" i="1"/>
  <c r="BT37" i="1"/>
  <c r="BU37" i="1"/>
  <c r="BS30" i="1"/>
  <c r="BS36" i="1"/>
  <c r="BQ41" i="1"/>
  <c r="BR41" i="1"/>
  <c r="BR28" i="1"/>
  <c r="BQ28" i="1"/>
  <c r="BQ43" i="1"/>
  <c r="BR43" i="1"/>
  <c r="BR37" i="1"/>
  <c r="BQ37" i="1"/>
  <c r="BQ33" i="1"/>
  <c r="BR33" i="1"/>
  <c r="BS45" i="1"/>
  <c r="BS27" i="1"/>
  <c r="D98" i="10" l="1"/>
  <c r="E98" i="10"/>
  <c r="BM31" i="10"/>
  <c r="BM32" i="10"/>
  <c r="BM33" i="10"/>
  <c r="BM30" i="10"/>
  <c r="BM34" i="10"/>
  <c r="BM39" i="10"/>
  <c r="BM40" i="10"/>
  <c r="BM28" i="10"/>
  <c r="BM44" i="10"/>
  <c r="BM41" i="10"/>
  <c r="BM37" i="10"/>
  <c r="BM26" i="10"/>
  <c r="BM42" i="10"/>
  <c r="BM45" i="10"/>
  <c r="BM38" i="10"/>
  <c r="BM43" i="10"/>
  <c r="BM27" i="10"/>
  <c r="BM36" i="10"/>
  <c r="BM35" i="10"/>
  <c r="BM29" i="10"/>
  <c r="BM25" i="10"/>
  <c r="BM54" i="10"/>
  <c r="BU40" i="1"/>
  <c r="BT43" i="1"/>
  <c r="BU47" i="1"/>
  <c r="BU44" i="1"/>
  <c r="BT48" i="1"/>
  <c r="BT29" i="1"/>
  <c r="BU35" i="1"/>
  <c r="BT39" i="1"/>
  <c r="BU34" i="1"/>
  <c r="BT34" i="1"/>
  <c r="BT27" i="1"/>
  <c r="BU27" i="1"/>
  <c r="BU42" i="1"/>
  <c r="BT42" i="1"/>
  <c r="BT45" i="1"/>
  <c r="BU45" i="1"/>
  <c r="BU36" i="1"/>
  <c r="BT36" i="1"/>
  <c r="BT26" i="1"/>
  <c r="BU26" i="1"/>
  <c r="BT30" i="1"/>
  <c r="BU30" i="1"/>
  <c r="BU28" i="1"/>
  <c r="BT28" i="1"/>
  <c r="BT32" i="1"/>
  <c r="BU32" i="1"/>
  <c r="BU33" i="1"/>
  <c r="BT33" i="1"/>
  <c r="BT38" i="1"/>
  <c r="BU38" i="1"/>
  <c r="BN39" i="10" l="1"/>
  <c r="BO39" i="10"/>
  <c r="BN25" i="10"/>
  <c r="BO25" i="10"/>
  <c r="BO26" i="10"/>
  <c r="BN26" i="10"/>
  <c r="BO32" i="10"/>
  <c r="BN32" i="10"/>
  <c r="BN38" i="10"/>
  <c r="BO38" i="10"/>
  <c r="BO40" i="10"/>
  <c r="BN40" i="10"/>
  <c r="BO33" i="10"/>
  <c r="BN33" i="10"/>
  <c r="BN36" i="10"/>
  <c r="BO36" i="10"/>
  <c r="BO41" i="10"/>
  <c r="BN41" i="10"/>
  <c r="BO42" i="10"/>
  <c r="BN42" i="10"/>
  <c r="BO30" i="10"/>
  <c r="BN30" i="10"/>
  <c r="BN35" i="10"/>
  <c r="BO35" i="10"/>
  <c r="BO44" i="10"/>
  <c r="BN44" i="10"/>
  <c r="BO45" i="10"/>
  <c r="BN45" i="10"/>
  <c r="BO34" i="10"/>
  <c r="BN34" i="10"/>
  <c r="BO29" i="10"/>
  <c r="BN29" i="10"/>
  <c r="BO37" i="10"/>
  <c r="BN37" i="10"/>
  <c r="BO31" i="10"/>
  <c r="BN31" i="10"/>
  <c r="BN27" i="10"/>
  <c r="BO27" i="10"/>
  <c r="BN43" i="10"/>
  <c r="BO43" i="10"/>
  <c r="BO28" i="10"/>
  <c r="BN28" i="10"/>
  <c r="C101" i="1"/>
  <c r="E101" i="1" s="1"/>
  <c r="B101" i="1"/>
  <c r="B64" i="1" s="1"/>
  <c r="C99" i="10" l="1"/>
  <c r="C100" i="10"/>
  <c r="B99" i="10"/>
  <c r="B62" i="1"/>
  <c r="B63" i="1" s="1"/>
  <c r="D101" i="1"/>
  <c r="B100" i="10" l="1"/>
  <c r="BS41" i="10" s="1"/>
  <c r="D99" i="10"/>
  <c r="E100" i="10"/>
  <c r="BS34" i="10"/>
  <c r="BS32" i="10"/>
  <c r="BS30" i="10"/>
  <c r="BS33" i="10"/>
  <c r="BS31" i="10"/>
  <c r="BS29" i="10"/>
  <c r="BS38" i="10"/>
  <c r="BS42" i="10"/>
  <c r="BS35" i="10"/>
  <c r="BS40" i="10"/>
  <c r="BS36" i="10"/>
  <c r="BS39" i="10"/>
  <c r="BS28" i="10"/>
  <c r="BS44" i="10"/>
  <c r="BS25" i="10"/>
  <c r="BS26" i="10"/>
  <c r="BS43" i="10"/>
  <c r="BS45" i="10"/>
  <c r="BS37" i="10"/>
  <c r="BS27" i="10"/>
  <c r="BS54" i="10"/>
  <c r="E99" i="10"/>
  <c r="BP30" i="10"/>
  <c r="BP33" i="10"/>
  <c r="BP31" i="10"/>
  <c r="BP34" i="10"/>
  <c r="BP32" i="10"/>
  <c r="BP45" i="10"/>
  <c r="BP27" i="10"/>
  <c r="BP37" i="10"/>
  <c r="BP26" i="10"/>
  <c r="BP35" i="10"/>
  <c r="BP44" i="10"/>
  <c r="BP36" i="10"/>
  <c r="BP38" i="10"/>
  <c r="BP42" i="10"/>
  <c r="BP40" i="10"/>
  <c r="BP41" i="10"/>
  <c r="BP43" i="10"/>
  <c r="BP25" i="10"/>
  <c r="BP28" i="10"/>
  <c r="BP29" i="10"/>
  <c r="BP39" i="10"/>
  <c r="BP54" i="10"/>
  <c r="BT31" i="10" l="1"/>
  <c r="BU31" i="10"/>
  <c r="BU27" i="10"/>
  <c r="BT27" i="10"/>
  <c r="BQ27" i="10"/>
  <c r="BR27" i="10"/>
  <c r="BQ40" i="10"/>
  <c r="BR40" i="10"/>
  <c r="BT32" i="10"/>
  <c r="BU32" i="10"/>
  <c r="BQ32" i="10"/>
  <c r="BR32" i="10"/>
  <c r="BR25" i="10"/>
  <c r="BQ25" i="10"/>
  <c r="BQ35" i="10"/>
  <c r="BR35" i="10"/>
  <c r="BR30" i="10"/>
  <c r="BQ30" i="10"/>
  <c r="BU44" i="10"/>
  <c r="BT44" i="10"/>
  <c r="BT29" i="10"/>
  <c r="BU29" i="10"/>
  <c r="BU39" i="10"/>
  <c r="BT39" i="10"/>
  <c r="BT33" i="10"/>
  <c r="BU33" i="10"/>
  <c r="BU40" i="10"/>
  <c r="BT40" i="10"/>
  <c r="BQ45" i="10"/>
  <c r="BR45" i="10"/>
  <c r="BU43" i="10"/>
  <c r="BT43" i="10"/>
  <c r="BR39" i="10"/>
  <c r="BQ39" i="10"/>
  <c r="BR38" i="10"/>
  <c r="BQ38" i="10"/>
  <c r="BR34" i="10"/>
  <c r="BQ34" i="10"/>
  <c r="BU26" i="10"/>
  <c r="BT26" i="10"/>
  <c r="BU41" i="10"/>
  <c r="BT41" i="10"/>
  <c r="BU28" i="10"/>
  <c r="BT28" i="10"/>
  <c r="BR37" i="10"/>
  <c r="BQ37" i="10"/>
  <c r="BQ41" i="10"/>
  <c r="BR41" i="10"/>
  <c r="BT30" i="10"/>
  <c r="BU30" i="10"/>
  <c r="BU35" i="10"/>
  <c r="BT35" i="10"/>
  <c r="BR29" i="10"/>
  <c r="BQ29" i="10"/>
  <c r="BR36" i="10"/>
  <c r="BQ36" i="10"/>
  <c r="BR31" i="10"/>
  <c r="BQ31" i="10"/>
  <c r="BU42" i="10"/>
  <c r="BT42" i="10"/>
  <c r="BR26" i="10"/>
  <c r="BQ26" i="10"/>
  <c r="BQ43" i="10"/>
  <c r="BR43" i="10"/>
  <c r="BU36" i="10"/>
  <c r="BT36" i="10"/>
  <c r="BU37" i="10"/>
  <c r="BT37" i="10"/>
  <c r="BU45" i="10"/>
  <c r="BT45" i="10"/>
  <c r="BQ42" i="10"/>
  <c r="BR42" i="10"/>
  <c r="BT34" i="10"/>
  <c r="BU34" i="10"/>
  <c r="BR28" i="10"/>
  <c r="BQ28" i="10"/>
  <c r="BQ44" i="10"/>
  <c r="BR44" i="10"/>
  <c r="BR33" i="10"/>
  <c r="BQ33" i="10"/>
  <c r="BU25" i="10"/>
  <c r="BT25" i="10"/>
  <c r="BU38" i="10"/>
  <c r="BT38" i="10"/>
  <c r="D100" i="10"/>
  <c r="B101" i="10" l="1"/>
  <c r="D101" i="10" s="1"/>
  <c r="C101" i="10"/>
  <c r="B64" i="10" l="1"/>
  <c r="E101" i="10"/>
  <c r="B62" i="10"/>
</calcChain>
</file>

<file path=xl/sharedStrings.xml><?xml version="1.0" encoding="utf-8"?>
<sst xmlns="http://schemas.openxmlformats.org/spreadsheetml/2006/main" count="325" uniqueCount="124">
  <si>
    <t>age</t>
  </si>
  <si>
    <t>error</t>
  </si>
  <si>
    <t>Totals</t>
  </si>
  <si>
    <t>Mean</t>
  </si>
  <si>
    <t>Chi-squared</t>
  </si>
  <si>
    <t>with</t>
  </si>
  <si>
    <t>degrees of freedom</t>
  </si>
  <si>
    <t>Ns (exp)</t>
  </si>
  <si>
    <t>Ni(exp)</t>
  </si>
  <si>
    <t>Chi-Factor</t>
  </si>
  <si>
    <t>P(chi-sq)</t>
  </si>
  <si>
    <t>%</t>
  </si>
  <si>
    <t>1st Iteration</t>
  </si>
  <si>
    <t>2nd Iteration</t>
  </si>
  <si>
    <t>3rd Iteration</t>
  </si>
  <si>
    <t>4th Iteration</t>
  </si>
  <si>
    <t>5th Iteration</t>
  </si>
  <si>
    <t>6th Iteration</t>
  </si>
  <si>
    <t>7th Iteration</t>
  </si>
  <si>
    <t>8th Iteration</t>
  </si>
  <si>
    <t>9th Iteration</t>
  </si>
  <si>
    <t>10th Iteration</t>
  </si>
  <si>
    <t>11th Iteration</t>
  </si>
  <si>
    <t>12th Iteration</t>
  </si>
  <si>
    <t>13th Iteration</t>
  </si>
  <si>
    <t>14th Iteration</t>
  </si>
  <si>
    <t>15th Iteration</t>
  </si>
  <si>
    <t>16th Iteration</t>
  </si>
  <si>
    <t>17th Iteration</t>
  </si>
  <si>
    <t>18th Iteration</t>
  </si>
  <si>
    <t>19th Iteration</t>
  </si>
  <si>
    <t>20th Iteration</t>
  </si>
  <si>
    <t>m</t>
  </si>
  <si>
    <t>y</t>
  </si>
  <si>
    <t>z</t>
  </si>
  <si>
    <t>w</t>
  </si>
  <si>
    <t>w^2*(y-n)^2</t>
  </si>
  <si>
    <t>w*y</t>
  </si>
  <si>
    <t>Central Age Calculation</t>
  </si>
  <si>
    <t>Iteration</t>
  </si>
  <si>
    <t>sigma</t>
  </si>
  <si>
    <t>eta</t>
  </si>
  <si>
    <t>Initial</t>
  </si>
  <si>
    <t>tr/cm^2</t>
  </si>
  <si>
    <t>dispersion</t>
  </si>
  <si>
    <t>initial</t>
  </si>
  <si>
    <t>Central age calculation from Galbraith &amp; Laslett (1993)</t>
  </si>
  <si>
    <t>sigma-diff</t>
  </si>
  <si>
    <t>eta-diff</t>
  </si>
  <si>
    <t>Apatite</t>
  </si>
  <si>
    <t>zeta</t>
  </si>
  <si>
    <t>Central Age (pseudo-EDM)</t>
  </si>
  <si>
    <t>Pooled Age (pseudo-EDM)</t>
  </si>
  <si>
    <t>U ppm</t>
  </si>
  <si>
    <r>
      <t>N</t>
    </r>
    <r>
      <rPr>
        <b/>
        <i/>
        <vertAlign val="subscript"/>
        <sz val="10"/>
        <rFont val="Arial"/>
        <family val="2"/>
      </rPr>
      <t>ni</t>
    </r>
  </si>
  <si>
    <r>
      <t>N</t>
    </r>
    <r>
      <rPr>
        <b/>
        <i/>
        <vertAlign val="subscript"/>
        <sz val="10"/>
        <rFont val="Arial"/>
        <family val="2"/>
      </rPr>
      <t>s</t>
    </r>
  </si>
  <si>
    <t>Ni,p</t>
  </si>
  <si>
    <t>lambda-f</t>
  </si>
  <si>
    <t>Density</t>
  </si>
  <si>
    <t>Na</t>
  </si>
  <si>
    <t>Mole mass</t>
  </si>
  <si>
    <t>Ri</t>
  </si>
  <si>
    <t>etchf</t>
  </si>
  <si>
    <t>Apatite fission-track age calculation using pseudo-EDM for LA-ICPMS FT data</t>
  </si>
  <si>
    <t>U1</t>
  </si>
  <si>
    <t>U2</t>
  </si>
  <si>
    <t>grainID</t>
  </si>
  <si>
    <t>U3</t>
  </si>
  <si>
    <t>U4</t>
  </si>
  <si>
    <t>U5</t>
  </si>
  <si>
    <t>U6</t>
  </si>
  <si>
    <t>U7</t>
  </si>
  <si>
    <t>U8</t>
  </si>
  <si>
    <t>U9</t>
  </si>
  <si>
    <t>U10</t>
  </si>
  <si>
    <t>log-U1</t>
  </si>
  <si>
    <t>log-U2</t>
  </si>
  <si>
    <t>log-U3</t>
  </si>
  <si>
    <t>log-U4</t>
  </si>
  <si>
    <t>log-U5</t>
  </si>
  <si>
    <t>log-U6</t>
  </si>
  <si>
    <t>log-U7</t>
  </si>
  <si>
    <t>log-U8</t>
  </si>
  <si>
    <t>log-U9</t>
  </si>
  <si>
    <t>log-U10</t>
  </si>
  <si>
    <t>U log-mean (ppm)</t>
  </si>
  <si>
    <t>Age calculation results and statistics:</t>
  </si>
  <si>
    <t>Parameters:</t>
  </si>
  <si>
    <t>Single-grain measurements</t>
  </si>
  <si>
    <t>Single-grain U measurements:</t>
  </si>
  <si>
    <t>Chi-squre-calculation</t>
  </si>
  <si>
    <t>Central age iteration</t>
  </si>
  <si>
    <t>Ns/Nni</t>
  </si>
  <si>
    <r>
      <t>g/cm</t>
    </r>
    <r>
      <rPr>
        <vertAlign val="superscript"/>
        <sz val="10"/>
        <rFont val="Arial"/>
        <family val="2"/>
      </rPr>
      <t>3</t>
    </r>
  </si>
  <si>
    <t>g/mol</t>
  </si>
  <si>
    <r>
      <t>yr</t>
    </r>
    <r>
      <rPr>
        <vertAlign val="superscript"/>
        <sz val="10"/>
        <rFont val="Arial"/>
        <family val="2"/>
      </rPr>
      <t>-1</t>
    </r>
  </si>
  <si>
    <r>
      <t>yr cm</t>
    </r>
    <r>
      <rPr>
        <vertAlign val="superscript"/>
        <sz val="10"/>
        <rFont val="Arial"/>
        <family val="2"/>
      </rPr>
      <t>2</t>
    </r>
  </si>
  <si>
    <r>
      <rPr>
        <b/>
        <i/>
        <vertAlign val="superscript"/>
        <sz val="10"/>
        <rFont val="Arial"/>
        <family val="2"/>
      </rPr>
      <t>238</t>
    </r>
    <r>
      <rPr>
        <b/>
        <i/>
        <sz val="10"/>
        <rFont val="Arial"/>
        <family val="2"/>
      </rPr>
      <t>U/</t>
    </r>
    <r>
      <rPr>
        <b/>
        <i/>
        <vertAlign val="superscript"/>
        <sz val="10"/>
        <rFont val="Arial"/>
        <family val="2"/>
      </rPr>
      <t>235</t>
    </r>
    <r>
      <rPr>
        <b/>
        <i/>
        <sz val="10"/>
        <rFont val="Arial"/>
        <family val="2"/>
      </rPr>
      <t>U</t>
    </r>
  </si>
  <si>
    <t>rho-d</t>
  </si>
  <si>
    <t>N grains</t>
  </si>
  <si>
    <t>Area (μm^2)</t>
  </si>
  <si>
    <t>μm</t>
  </si>
  <si>
    <t>The workbook contains two main sheets:</t>
  </si>
  <si>
    <r>
      <t>1. "multi-grain U log-mean clc":</t>
    </r>
    <r>
      <rPr>
        <sz val="12"/>
        <color rgb="FF0F1115"/>
        <rFont val="Times New Roman"/>
        <family val="1"/>
      </rPr>
      <t> Use this sheet to calculate the log-mean uranium concentration for grains with multiple spot measurements.</t>
    </r>
  </si>
  <si>
    <t>Usage Instructions:</t>
  </si>
  <si>
    <t>A. For Single U Measurement per Grain:</t>
  </si>
  <si>
    <r>
      <t>2. Paste your data for Uranium content (U ppm), spontaneous track count (Ns), and counting area (Area (μm^2)) into </t>
    </r>
    <r>
      <rPr>
        <b/>
        <sz val="12"/>
        <color rgb="FF0F1115"/>
        <rFont val="Times New Roman"/>
        <family val="1"/>
      </rPr>
      <t>columns A through C</t>
    </r>
    <r>
      <rPr>
        <sz val="12"/>
        <color rgb="FF0F1115"/>
        <rFont val="Times New Roman"/>
        <family val="1"/>
      </rPr>
      <t> of the </t>
    </r>
    <r>
      <rPr>
        <b/>
        <sz val="12"/>
        <color rgb="FF0F1115"/>
        <rFont val="Times New Roman"/>
        <family val="1"/>
      </rPr>
      <t>'Single-grain measurements'</t>
    </r>
    <r>
      <rPr>
        <sz val="12"/>
        <color rgb="FF0F1115"/>
        <rFont val="Times New Roman"/>
        <family val="1"/>
      </rPr>
      <t> section (highlighted with a yellow background).</t>
    </r>
  </si>
  <si>
    <r>
      <t>3. The calculated ages and associated statistics will automatically appear in the </t>
    </r>
    <r>
      <rPr>
        <b/>
        <sz val="12"/>
        <color rgb="FF0F1115"/>
        <rFont val="Times New Roman"/>
        <family val="1"/>
      </rPr>
      <t>'Age calculation results and statistics'</t>
    </r>
    <r>
      <rPr>
        <sz val="12"/>
        <color rgb="FF0F1115"/>
        <rFont val="Times New Roman"/>
        <family val="1"/>
      </rPr>
      <t> section (highlighted with a green background).</t>
    </r>
  </si>
  <si>
    <t>B. For multiple U measurements per grain:</t>
  </si>
  <si>
    <r>
      <t>1. On the </t>
    </r>
    <r>
      <rPr>
        <b/>
        <sz val="12"/>
        <color rgb="FF0F1115"/>
        <rFont val="Times New Roman"/>
        <family val="1"/>
      </rPr>
      <t>"multi-grain U log-mean clc"</t>
    </r>
    <r>
      <rPr>
        <sz val="12"/>
        <color rgb="FF0F1115"/>
        <rFont val="Times New Roman"/>
        <family val="1"/>
      </rPr>
      <t> sheet, copy all U measurements for a single grain into one row of the </t>
    </r>
    <r>
      <rPr>
        <b/>
        <sz val="12"/>
        <color rgb="FF0F1115"/>
        <rFont val="Times New Roman"/>
        <family val="1"/>
      </rPr>
      <t>'Single-grain U measurements'</t>
    </r>
    <r>
      <rPr>
        <sz val="12"/>
        <color rgb="FF0F1115"/>
        <rFont val="Times New Roman"/>
        <family val="1"/>
      </rPr>
      <t> section (highlighted with a yellow background).</t>
    </r>
  </si>
  <si>
    <r>
      <t>2. The log-mean U value will be calculated automatically in the corresponding </t>
    </r>
    <r>
      <rPr>
        <b/>
        <sz val="12"/>
        <color rgb="FF0F1115"/>
        <rFont val="Times New Roman"/>
        <family val="1"/>
      </rPr>
      <t>light blue cell in column B</t>
    </r>
    <r>
      <rPr>
        <sz val="12"/>
        <color rgb="FF0F1115"/>
        <rFont val="Times New Roman"/>
        <family val="1"/>
      </rPr>
      <t>.</t>
    </r>
  </si>
  <si>
    <t>4. The final age results and statistics will be displayed in the green-background section.</t>
  </si>
  <si>
    <t>Important Note on Data Expansion:</t>
  </si>
  <si>
    <t>Zircon fission-track age calculation using pseudo-EDM for LA-ICPMS FT data</t>
  </si>
  <si>
    <t>zircon</t>
  </si>
  <si>
    <r>
      <t>2. "pseudo-EDM age calc for apatite":</t>
    </r>
    <r>
      <rPr>
        <sz val="12"/>
        <color rgb="FF0F1115"/>
        <rFont val="Times New Roman"/>
        <family val="1"/>
      </rPr>
      <t> This is one of the main sheets where final AFT age calculations and statistical results are generated.</t>
    </r>
  </si>
  <si>
    <r>
      <t>3. "pseudo-EDM age calc for zircon":</t>
    </r>
    <r>
      <rPr>
        <sz val="12"/>
        <color rgb="FF0F1115"/>
        <rFont val="Times New Roman"/>
        <family val="1"/>
      </rPr>
      <t xml:space="preserve"> This is a similar sheet as the </t>
    </r>
    <r>
      <rPr>
        <b/>
        <sz val="12"/>
        <color rgb="FF0F1115"/>
        <rFont val="Times New Roman"/>
        <family val="1"/>
      </rPr>
      <t>"pseudo-EDM age calc for apatite"</t>
    </r>
    <r>
      <rPr>
        <sz val="12"/>
        <color rgb="FF0F1115"/>
        <rFont val="Times New Roman"/>
        <family val="1"/>
      </rPr>
      <t>, and deals with ZFT age calculations and statistics.</t>
    </r>
  </si>
  <si>
    <r>
      <t>1. Go directly to the </t>
    </r>
    <r>
      <rPr>
        <b/>
        <sz val="12"/>
        <color rgb="FF0F1115"/>
        <rFont val="Times New Roman"/>
        <family val="1"/>
      </rPr>
      <t>"pseudo-EDM age calc for apatite" or "pseudo-EDM age calc for zircon"</t>
    </r>
    <r>
      <rPr>
        <sz val="12"/>
        <color rgb="FF0F1115"/>
        <rFont val="Times New Roman"/>
        <family val="1"/>
      </rPr>
      <t> sheet (depending which mineral to work on).</t>
    </r>
  </si>
  <si>
    <r>
      <t>3. Copy this log-mean U value, along with the grain's Ns and counting area data, into the respective columns of the </t>
    </r>
    <r>
      <rPr>
        <b/>
        <sz val="12"/>
        <color rgb="FF0F1115"/>
        <rFont val="Times New Roman"/>
        <family val="1"/>
      </rPr>
      <t>'Single-grain measurements'</t>
    </r>
    <r>
      <rPr>
        <sz val="12"/>
        <color rgb="FF0F1115"/>
        <rFont val="Times New Roman"/>
        <family val="1"/>
      </rPr>
      <t> section on the </t>
    </r>
    <r>
      <rPr>
        <b/>
        <sz val="12"/>
        <color rgb="FF0F1115"/>
        <rFont val="Times New Roman"/>
        <family val="1"/>
      </rPr>
      <t>"pseudo-EDM age calc for apatite" or "pseudo-EDM age calc for zircon"</t>
    </r>
    <r>
      <rPr>
        <sz val="12"/>
        <color rgb="FF0F1115"/>
        <rFont val="Times New Roman"/>
        <family val="1"/>
      </rPr>
      <t> sheet (depending which mineral to work on).</t>
    </r>
  </si>
  <si>
    <r>
      <t>If you have a large number of grains, you may need to add more rows to the 'Single-grain measurements' sections. After adding rows, </t>
    </r>
    <r>
      <rPr>
        <b/>
        <sz val="12"/>
        <rFont val="Arial"/>
        <family val="2"/>
      </rPr>
      <t>you must select and drag down the formula blocks for the "Chi-square calculation" and "Central age iteration" sections</t>
    </r>
    <r>
      <rPr>
        <sz val="12"/>
        <rFont val="Times New Roman"/>
        <family val="1"/>
      </rPr>
      <t xml:space="preserve"> to copy the necessary equations into the new rows. </t>
    </r>
    <r>
      <rPr>
        <b/>
        <sz val="12"/>
        <rFont val="Times New Roman"/>
        <family val="1"/>
      </rPr>
      <t>Care must be taken when doing this.</t>
    </r>
  </si>
  <si>
    <t>log calculations:</t>
  </si>
  <si>
    <t>This spreadsheet is designed for the calculation of pooled and central ages, chi-square, p-values, and dispersion for LA-ICPMS fission-track data using the pseudo-EDM approach (Tian and Zhong, G-Cubed, under revision).</t>
  </si>
  <si>
    <t>Single-grain</t>
  </si>
  <si>
    <t xml:space="preserve">Single-grain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</si>
</sst>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0"/>
    <numFmt numFmtId="166" formatCode="0.0000000"/>
    <numFmt numFmtId="167" formatCode="0.000E+00"/>
    <numFmt numFmtId="168" formatCode="0.0"/>
    <numFmt numFmtId="169" formatCode="0.00000000"/>
    <numFmt numFmtId="171" formatCode="#,##0.000"/>
  </numFmts>
  <fonts count="32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i/>
      <sz val="20"/>
      <name val="Times New Roman"/>
      <family val="1"/>
    </font>
    <font>
      <b/>
      <sz val="12"/>
      <name val="Times New Roman"/>
      <family val="1"/>
    </font>
    <font>
      <b/>
      <u/>
      <sz val="10"/>
      <name val="Arial"/>
      <family val="2"/>
    </font>
    <font>
      <u/>
      <sz val="10"/>
      <name val="Arial"/>
      <family val="2"/>
    </font>
    <font>
      <i/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sz val="7"/>
      <name val="Arial"/>
      <family val="2"/>
    </font>
    <font>
      <sz val="7"/>
      <name val="Arial"/>
      <family val="2"/>
    </font>
    <font>
      <sz val="16"/>
      <color rgb="FF000000"/>
      <name val="Arial"/>
      <family val="2"/>
    </font>
    <font>
      <b/>
      <i/>
      <vertAlign val="subscript"/>
      <sz val="10"/>
      <name val="Arial"/>
      <family val="2"/>
    </font>
    <font>
      <sz val="12"/>
      <color rgb="FFB5CEA8"/>
      <name val="Menlo"/>
      <family val="2"/>
    </font>
    <font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b/>
      <sz val="10"/>
      <color theme="1"/>
      <name val="Times New Roman"/>
      <family val="1"/>
    </font>
    <font>
      <sz val="12"/>
      <name val="Times New Roman"/>
      <family val="1"/>
    </font>
    <font>
      <sz val="12"/>
      <color rgb="FF0F1115"/>
      <name val="Times New Roman"/>
      <family val="1"/>
    </font>
    <font>
      <b/>
      <sz val="12"/>
      <color rgb="FF0F1115"/>
      <name val="Times New Roman"/>
      <family val="1"/>
    </font>
    <font>
      <b/>
      <sz val="12"/>
      <color rgb="FF0F1115"/>
      <name val="Arial"/>
      <family val="2"/>
    </font>
    <font>
      <sz val="10"/>
      <color theme="1"/>
      <name val="Arial"/>
      <family val="2"/>
    </font>
    <font>
      <sz val="10"/>
      <color rgb="FF1F1F1F"/>
      <name val="Arial"/>
      <family val="2"/>
    </font>
    <font>
      <sz val="10"/>
      <color theme="1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2" fontId="0" fillId="0" borderId="0" xfId="0" applyNumberFormat="1"/>
    <xf numFmtId="2" fontId="2" fillId="0" borderId="0" xfId="0" applyNumberFormat="1" applyFont="1"/>
    <xf numFmtId="164" fontId="0" fillId="0" borderId="0" xfId="0" applyNumberFormat="1"/>
    <xf numFmtId="0" fontId="7" fillId="0" borderId="0" xfId="0" applyFont="1"/>
    <xf numFmtId="165" fontId="7" fillId="0" borderId="0" xfId="0" applyNumberFormat="1" applyFont="1"/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2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164" fontId="6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/>
    <xf numFmtId="0" fontId="13" fillId="2" borderId="0" xfId="0" applyFont="1" applyFill="1" applyAlignment="1">
      <alignment horizontal="center"/>
    </xf>
    <xf numFmtId="164" fontId="1" fillId="0" borderId="0" xfId="0" applyNumberFormat="1" applyFont="1"/>
    <xf numFmtId="0" fontId="16" fillId="0" borderId="0" xfId="0" applyFont="1"/>
    <xf numFmtId="168" fontId="0" fillId="0" borderId="0" xfId="0" applyNumberFormat="1"/>
    <xf numFmtId="0" fontId="3" fillId="0" borderId="0" xfId="0" applyFont="1"/>
    <xf numFmtId="0" fontId="14" fillId="0" borderId="0" xfId="0" applyFont="1"/>
    <xf numFmtId="166" fontId="17" fillId="0" borderId="0" xfId="0" applyNumberFormat="1" applyFont="1" applyAlignment="1">
      <alignment horizontal="center"/>
    </xf>
    <xf numFmtId="166" fontId="17" fillId="0" borderId="1" xfId="0" applyNumberFormat="1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5" fillId="0" borderId="1" xfId="0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169" fontId="0" fillId="0" borderId="0" xfId="0" applyNumberFormat="1"/>
    <xf numFmtId="169" fontId="18" fillId="0" borderId="0" xfId="0" applyNumberFormat="1" applyFont="1"/>
    <xf numFmtId="164" fontId="5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8" fontId="1" fillId="0" borderId="0" xfId="0" applyNumberFormat="1" applyFont="1"/>
    <xf numFmtId="1" fontId="1" fillId="2" borderId="1" xfId="0" applyNumberFormat="1" applyFont="1" applyFill="1" applyBorder="1"/>
    <xf numFmtId="0" fontId="19" fillId="0" borderId="0" xfId="0" applyFont="1"/>
    <xf numFmtId="168" fontId="5" fillId="0" borderId="1" xfId="0" applyNumberFormat="1" applyFont="1" applyBorder="1" applyAlignment="1">
      <alignment horizontal="center"/>
    </xf>
    <xf numFmtId="168" fontId="5" fillId="0" borderId="0" xfId="0" applyNumberFormat="1" applyFont="1" applyAlignment="1">
      <alignment horizontal="center"/>
    </xf>
    <xf numFmtId="168" fontId="13" fillId="2" borderId="1" xfId="0" applyNumberFormat="1" applyFont="1" applyFill="1" applyBorder="1" applyAlignment="1">
      <alignment horizontal="center"/>
    </xf>
    <xf numFmtId="168" fontId="13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8" fontId="17" fillId="0" borderId="1" xfId="0" applyNumberFormat="1" applyFont="1" applyBorder="1" applyAlignment="1">
      <alignment horizontal="center"/>
    </xf>
    <xf numFmtId="168" fontId="17" fillId="0" borderId="0" xfId="0" applyNumberFormat="1" applyFont="1" applyAlignment="1">
      <alignment horizontal="center"/>
    </xf>
    <xf numFmtId="168" fontId="1" fillId="2" borderId="1" xfId="0" applyNumberFormat="1" applyFont="1" applyFill="1" applyBorder="1"/>
    <xf numFmtId="168" fontId="1" fillId="2" borderId="0" xfId="0" applyNumberFormat="1" applyFont="1" applyFill="1"/>
    <xf numFmtId="0" fontId="21" fillId="0" borderId="0" xfId="0" applyFont="1"/>
    <xf numFmtId="1" fontId="0" fillId="2" borderId="0" xfId="0" applyNumberFormat="1" applyFill="1"/>
    <xf numFmtId="0" fontId="0" fillId="3" borderId="0" xfId="0" applyFill="1"/>
    <xf numFmtId="0" fontId="15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/>
    <xf numFmtId="1" fontId="0" fillId="4" borderId="0" xfId="0" applyNumberFormat="1" applyFill="1" applyAlignment="1">
      <alignment horizontal="center"/>
    </xf>
    <xf numFmtId="0" fontId="2" fillId="5" borderId="4" xfId="0" applyFont="1" applyFill="1" applyBorder="1"/>
    <xf numFmtId="165" fontId="2" fillId="5" borderId="4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11" fontId="2" fillId="5" borderId="0" xfId="0" applyNumberFormat="1" applyFont="1" applyFill="1" applyAlignment="1">
      <alignment horizontal="center"/>
    </xf>
    <xf numFmtId="0" fontId="3" fillId="5" borderId="5" xfId="0" applyFont="1" applyFill="1" applyBorder="1"/>
    <xf numFmtId="0" fontId="12" fillId="4" borderId="3" xfId="0" applyFont="1" applyFill="1" applyBorder="1"/>
    <xf numFmtId="0" fontId="0" fillId="4" borderId="4" xfId="0" applyFill="1" applyBorder="1"/>
    <xf numFmtId="164" fontId="0" fillId="4" borderId="4" xfId="0" applyNumberFormat="1" applyFill="1" applyBorder="1"/>
    <xf numFmtId="0" fontId="15" fillId="4" borderId="1" xfId="0" applyFont="1" applyFill="1" applyBorder="1"/>
    <xf numFmtId="0" fontId="0" fillId="4" borderId="0" xfId="0" applyFill="1"/>
    <xf numFmtId="164" fontId="0" fillId="4" borderId="0" xfId="0" applyNumberFormat="1" applyFill="1"/>
    <xf numFmtId="0" fontId="9" fillId="4" borderId="1" xfId="0" applyFont="1" applyFill="1" applyBorder="1"/>
    <xf numFmtId="168" fontId="10" fillId="4" borderId="0" xfId="0" applyNumberFormat="1" applyFont="1" applyFill="1"/>
    <xf numFmtId="0" fontId="10" fillId="4" borderId="0" xfId="0" applyFont="1" applyFill="1"/>
    <xf numFmtId="168" fontId="0" fillId="4" borderId="0" xfId="0" applyNumberFormat="1" applyFill="1"/>
    <xf numFmtId="0" fontId="2" fillId="4" borderId="1" xfId="0" applyFont="1" applyFill="1" applyBorder="1"/>
    <xf numFmtId="2" fontId="0" fillId="4" borderId="0" xfId="0" applyNumberFormat="1" applyFill="1"/>
    <xf numFmtId="0" fontId="0" fillId="4" borderId="0" xfId="0" applyFill="1" applyAlignment="1">
      <alignment horizontal="center"/>
    </xf>
    <xf numFmtId="0" fontId="0" fillId="4" borderId="5" xfId="0" applyFill="1" applyBorder="1"/>
    <xf numFmtId="0" fontId="0" fillId="4" borderId="2" xfId="0" applyFill="1" applyBorder="1"/>
    <xf numFmtId="164" fontId="0" fillId="4" borderId="2" xfId="0" applyNumberFormat="1" applyFill="1" applyBorder="1"/>
    <xf numFmtId="0" fontId="3" fillId="3" borderId="0" xfId="0" applyFont="1" applyFill="1" applyAlignment="1">
      <alignment horizontal="center"/>
    </xf>
    <xf numFmtId="0" fontId="12" fillId="3" borderId="0" xfId="0" applyFont="1" applyFill="1"/>
    <xf numFmtId="0" fontId="1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15" fillId="6" borderId="0" xfId="0" applyFon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2" fillId="0" borderId="0" xfId="0" applyFont="1" applyAlignment="1">
      <alignment horizontal="center"/>
    </xf>
    <xf numFmtId="165" fontId="15" fillId="5" borderId="0" xfId="0" applyNumberFormat="1" applyFont="1" applyFill="1"/>
    <xf numFmtId="0" fontId="24" fillId="5" borderId="3" xfId="0" applyFont="1" applyFill="1" applyBorder="1"/>
    <xf numFmtId="0" fontId="15" fillId="5" borderId="1" xfId="0" applyFont="1" applyFill="1" applyBorder="1"/>
    <xf numFmtId="11" fontId="15" fillId="5" borderId="0" xfId="0" applyNumberFormat="1" applyFont="1" applyFill="1" applyAlignment="1">
      <alignment horizontal="center"/>
    </xf>
    <xf numFmtId="2" fontId="15" fillId="5" borderId="0" xfId="0" applyNumberFormat="1" applyFont="1" applyFill="1" applyAlignment="1">
      <alignment horizontal="center"/>
    </xf>
    <xf numFmtId="168" fontId="15" fillId="5" borderId="0" xfId="0" applyNumberFormat="1" applyFont="1" applyFill="1" applyAlignment="1">
      <alignment horizontal="center"/>
    </xf>
    <xf numFmtId="167" fontId="15" fillId="5" borderId="0" xfId="0" applyNumberFormat="1" applyFont="1" applyFill="1" applyAlignment="1">
      <alignment horizontal="center"/>
    </xf>
    <xf numFmtId="164" fontId="15" fillId="5" borderId="0" xfId="0" applyNumberFormat="1" applyFont="1" applyFill="1"/>
    <xf numFmtId="0" fontId="15" fillId="5" borderId="2" xfId="0" applyFont="1" applyFill="1" applyBorder="1" applyAlignment="1">
      <alignment horizontal="left"/>
    </xf>
    <xf numFmtId="165" fontId="15" fillId="5" borderId="2" xfId="0" applyNumberFormat="1" applyFont="1" applyFill="1" applyBorder="1"/>
    <xf numFmtId="0" fontId="2" fillId="4" borderId="0" xfId="0" applyFont="1" applyFill="1"/>
    <xf numFmtId="0" fontId="26" fillId="0" borderId="0" xfId="0" applyFont="1" applyAlignment="1">
      <alignment vertical="center" wrapText="1"/>
    </xf>
    <xf numFmtId="0" fontId="27" fillId="0" borderId="0" xfId="0" applyFont="1" applyAlignment="1">
      <alignment horizontal="left" vertical="center" wrapText="1"/>
    </xf>
    <xf numFmtId="0" fontId="27" fillId="0" borderId="0" xfId="0" applyFont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8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15" fillId="0" borderId="0" xfId="0" applyFont="1"/>
    <xf numFmtId="164" fontId="2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68" fontId="15" fillId="0" borderId="0" xfId="0" applyNumberFormat="1" applyFont="1"/>
    <xf numFmtId="0" fontId="15" fillId="3" borderId="0" xfId="0" applyFont="1" applyFill="1"/>
    <xf numFmtId="2" fontId="15" fillId="3" borderId="0" xfId="0" applyNumberFormat="1" applyFont="1" applyFill="1"/>
    <xf numFmtId="171" fontId="15" fillId="0" borderId="0" xfId="0" applyNumberFormat="1" applyFont="1"/>
    <xf numFmtId="1" fontId="30" fillId="0" borderId="0" xfId="0" applyNumberFormat="1" applyFont="1" applyAlignment="1">
      <alignment horizontal="center"/>
    </xf>
    <xf numFmtId="0" fontId="31" fillId="0" borderId="0" xfId="0" applyFont="1"/>
    <xf numFmtId="165" fontId="15" fillId="0" borderId="0" xfId="0" applyNumberFormat="1" applyFont="1"/>
    <xf numFmtId="164" fontId="15" fillId="0" borderId="0" xfId="0" applyNumberFormat="1" applyFont="1"/>
    <xf numFmtId="166" fontId="15" fillId="0" borderId="0" xfId="0" applyNumberFormat="1" applyFont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66" fontId="15" fillId="0" borderId="1" xfId="0" applyNumberFormat="1" applyFont="1" applyBorder="1" applyAlignment="1">
      <alignment horizontal="center"/>
    </xf>
    <xf numFmtId="168" fontId="15" fillId="0" borderId="1" xfId="0" applyNumberFormat="1" applyFont="1" applyBorder="1" applyAlignment="1">
      <alignment horizontal="center"/>
    </xf>
    <xf numFmtId="168" fontId="15" fillId="0" borderId="0" xfId="0" applyNumberFormat="1" applyFont="1" applyAlignment="1">
      <alignment horizontal="center"/>
    </xf>
    <xf numFmtId="0" fontId="29" fillId="0" borderId="0" xfId="0" applyFont="1"/>
    <xf numFmtId="2" fontId="1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'pseudo-EDM age calc for AFT'!$BS$25:$BS$48</c:f>
              <c:numCache>
                <c:formatCode>0.0</c:formatCode>
                <c:ptCount val="24"/>
                <c:pt idx="0">
                  <c:v>307.2505548947716</c:v>
                </c:pt>
                <c:pt idx="1">
                  <c:v>76.925024493096714</c:v>
                </c:pt>
                <c:pt idx="2">
                  <c:v>252.47220731682063</c:v>
                </c:pt>
                <c:pt idx="3">
                  <c:v>591.48474627626513</c:v>
                </c:pt>
                <c:pt idx="4">
                  <c:v>460.42738282035504</c:v>
                </c:pt>
                <c:pt idx="5">
                  <c:v>87.908188952017753</c:v>
                </c:pt>
                <c:pt idx="6">
                  <c:v>164.74751166497376</c:v>
                </c:pt>
                <c:pt idx="7">
                  <c:v>1059.3186012782094</c:v>
                </c:pt>
                <c:pt idx="8">
                  <c:v>744.10920059007947</c:v>
                </c:pt>
                <c:pt idx="9">
                  <c:v>208.62207321941719</c:v>
                </c:pt>
                <c:pt idx="10">
                  <c:v>427.62887668674824</c:v>
                </c:pt>
                <c:pt idx="11">
                  <c:v>372.93428843063833</c:v>
                </c:pt>
                <c:pt idx="12">
                  <c:v>405.755604675124</c:v>
                </c:pt>
                <c:pt idx="13">
                  <c:v>241.51196275085223</c:v>
                </c:pt>
                <c:pt idx="14">
                  <c:v>493.21221429941113</c:v>
                </c:pt>
                <c:pt idx="15">
                  <c:v>142.80106421185155</c:v>
                </c:pt>
                <c:pt idx="16">
                  <c:v>372.93428843063833</c:v>
                </c:pt>
                <c:pt idx="17">
                  <c:v>175.71844324386325</c:v>
                </c:pt>
                <c:pt idx="18">
                  <c:v>689.63451374437489</c:v>
                </c:pt>
                <c:pt idx="19">
                  <c:v>296.29793435173303</c:v>
                </c:pt>
                <c:pt idx="20">
                  <c:v>208.62207321941719</c:v>
                </c:pt>
                <c:pt idx="21">
                  <c:v>296.29793435173303</c:v>
                </c:pt>
                <c:pt idx="22">
                  <c:v>471.35717896371966</c:v>
                </c:pt>
                <c:pt idx="23">
                  <c:v>656.93155088630647</c:v>
                </c:pt>
              </c:numCache>
            </c:numRef>
          </c:xVal>
          <c:yVal>
            <c:numRef>
              <c:f>'pseudo-EDM age calc for AFT'!$BW$25:$BW$48</c:f>
              <c:numCache>
                <c:formatCode>0.0</c:formatCode>
                <c:ptCount val="24"/>
                <c:pt idx="0">
                  <c:v>1.3627702877384937</c:v>
                </c:pt>
                <c:pt idx="1">
                  <c:v>1.1952286093343936</c:v>
                </c:pt>
                <c:pt idx="2">
                  <c:v>1.6151457061744967</c:v>
                </c:pt>
                <c:pt idx="3">
                  <c:v>2.4683177657247843</c:v>
                </c:pt>
                <c:pt idx="4">
                  <c:v>2.6592157812837551</c:v>
                </c:pt>
                <c:pt idx="5">
                  <c:v>0</c:v>
                </c:pt>
                <c:pt idx="6">
                  <c:v>1.3165611772087666</c:v>
                </c:pt>
                <c:pt idx="7">
                  <c:v>2.5484986483858969</c:v>
                </c:pt>
                <c:pt idx="8">
                  <c:v>1.6934128435864448</c:v>
                </c:pt>
                <c:pt idx="9">
                  <c:v>0.97332852678457515</c:v>
                </c:pt>
                <c:pt idx="10">
                  <c:v>1.6641005886756874</c:v>
                </c:pt>
                <c:pt idx="11">
                  <c:v>2.0651164331225833</c:v>
                </c:pt>
                <c:pt idx="12">
                  <c:v>1.8888005632060703</c:v>
                </c:pt>
                <c:pt idx="13">
                  <c:v>0.97700842091839446</c:v>
                </c:pt>
                <c:pt idx="14">
                  <c:v>2.1081851067789197</c:v>
                </c:pt>
                <c:pt idx="15">
                  <c:v>0.96076892283052284</c:v>
                </c:pt>
                <c:pt idx="16">
                  <c:v>1.8786728732554483</c:v>
                </c:pt>
                <c:pt idx="17">
                  <c:v>0.96824583655185437</c:v>
                </c:pt>
                <c:pt idx="18">
                  <c:v>2.64274989057364</c:v>
                </c:pt>
                <c:pt idx="19">
                  <c:v>1.3608276348795434</c:v>
                </c:pt>
                <c:pt idx="20">
                  <c:v>0.97332852678457515</c:v>
                </c:pt>
                <c:pt idx="21">
                  <c:v>1.3608276348795434</c:v>
                </c:pt>
                <c:pt idx="22">
                  <c:v>1.904706532971467</c:v>
                </c:pt>
                <c:pt idx="23">
                  <c:v>2.6331223544175333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39-884C-B28E-88873B845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640767"/>
        <c:axId val="1"/>
      </c:scatterChart>
      <c:valAx>
        <c:axId val="1301640767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CN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t/s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0164076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'pseudo-EDM age calc for AFT'!$BS$25:$BS$48</c:f>
              <c:numCache>
                <c:formatCode>0.0</c:formatCode>
                <c:ptCount val="24"/>
                <c:pt idx="0">
                  <c:v>307.2505548947716</c:v>
                </c:pt>
                <c:pt idx="1">
                  <c:v>76.925024493096714</c:v>
                </c:pt>
                <c:pt idx="2">
                  <c:v>252.47220731682063</c:v>
                </c:pt>
                <c:pt idx="3">
                  <c:v>591.48474627626513</c:v>
                </c:pt>
                <c:pt idx="4">
                  <c:v>460.42738282035504</c:v>
                </c:pt>
                <c:pt idx="5">
                  <c:v>87.908188952017753</c:v>
                </c:pt>
                <c:pt idx="6">
                  <c:v>164.74751166497376</c:v>
                </c:pt>
                <c:pt idx="7">
                  <c:v>1059.3186012782094</c:v>
                </c:pt>
                <c:pt idx="8">
                  <c:v>744.10920059007947</c:v>
                </c:pt>
                <c:pt idx="9">
                  <c:v>208.62207321941719</c:v>
                </c:pt>
                <c:pt idx="10">
                  <c:v>427.62887668674824</c:v>
                </c:pt>
                <c:pt idx="11">
                  <c:v>372.93428843063833</c:v>
                </c:pt>
                <c:pt idx="12">
                  <c:v>405.755604675124</c:v>
                </c:pt>
                <c:pt idx="13">
                  <c:v>241.51196275085223</c:v>
                </c:pt>
                <c:pt idx="14">
                  <c:v>493.21221429941113</c:v>
                </c:pt>
                <c:pt idx="15">
                  <c:v>142.80106421185155</c:v>
                </c:pt>
                <c:pt idx="16">
                  <c:v>372.93428843063833</c:v>
                </c:pt>
                <c:pt idx="17">
                  <c:v>175.71844324386325</c:v>
                </c:pt>
                <c:pt idx="18">
                  <c:v>689.63451374437489</c:v>
                </c:pt>
                <c:pt idx="19">
                  <c:v>296.29793435173303</c:v>
                </c:pt>
                <c:pt idx="20">
                  <c:v>208.62207321941719</c:v>
                </c:pt>
                <c:pt idx="21">
                  <c:v>296.29793435173303</c:v>
                </c:pt>
                <c:pt idx="22">
                  <c:v>471.35717896371966</c:v>
                </c:pt>
                <c:pt idx="23">
                  <c:v>656.93155088630647</c:v>
                </c:pt>
              </c:numCache>
            </c:numRef>
          </c:xVal>
          <c:yVal>
            <c:numRef>
              <c:f>'pseudo-EDM age calc for AFT'!$BW$25:$BW$48</c:f>
              <c:numCache>
                <c:formatCode>0.0</c:formatCode>
                <c:ptCount val="24"/>
                <c:pt idx="0">
                  <c:v>1.3627702877384937</c:v>
                </c:pt>
                <c:pt idx="1">
                  <c:v>1.1952286093343936</c:v>
                </c:pt>
                <c:pt idx="2">
                  <c:v>1.6151457061744967</c:v>
                </c:pt>
                <c:pt idx="3">
                  <c:v>2.4683177657247843</c:v>
                </c:pt>
                <c:pt idx="4">
                  <c:v>2.6592157812837551</c:v>
                </c:pt>
                <c:pt idx="5">
                  <c:v>0</c:v>
                </c:pt>
                <c:pt idx="6">
                  <c:v>1.3165611772087666</c:v>
                </c:pt>
                <c:pt idx="7">
                  <c:v>2.5484986483858969</c:v>
                </c:pt>
                <c:pt idx="8">
                  <c:v>1.6934128435864448</c:v>
                </c:pt>
                <c:pt idx="9">
                  <c:v>0.97332852678457515</c:v>
                </c:pt>
                <c:pt idx="10">
                  <c:v>1.6641005886756874</c:v>
                </c:pt>
                <c:pt idx="11">
                  <c:v>2.0651164331225833</c:v>
                </c:pt>
                <c:pt idx="12">
                  <c:v>1.8888005632060703</c:v>
                </c:pt>
                <c:pt idx="13">
                  <c:v>0.97700842091839446</c:v>
                </c:pt>
                <c:pt idx="14">
                  <c:v>2.1081851067789197</c:v>
                </c:pt>
                <c:pt idx="15">
                  <c:v>0.96076892283052284</c:v>
                </c:pt>
                <c:pt idx="16">
                  <c:v>1.8786728732554483</c:v>
                </c:pt>
                <c:pt idx="17">
                  <c:v>0.96824583655185437</c:v>
                </c:pt>
                <c:pt idx="18">
                  <c:v>2.64274989057364</c:v>
                </c:pt>
                <c:pt idx="19">
                  <c:v>1.3608276348795434</c:v>
                </c:pt>
                <c:pt idx="20">
                  <c:v>0.97332852678457515</c:v>
                </c:pt>
                <c:pt idx="21">
                  <c:v>1.3608276348795434</c:v>
                </c:pt>
                <c:pt idx="22">
                  <c:v>1.904706532971467</c:v>
                </c:pt>
                <c:pt idx="23">
                  <c:v>2.6331223544175333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7F-A340-97F8-7027C18A6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640767"/>
        <c:axId val="1"/>
      </c:scatterChart>
      <c:valAx>
        <c:axId val="1301640767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CN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t/s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0164076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317500</xdr:colOff>
      <xdr:row>24</xdr:row>
      <xdr:rowOff>139700</xdr:rowOff>
    </xdr:from>
    <xdr:to>
      <xdr:col>83</xdr:col>
      <xdr:colOff>139700</xdr:colOff>
      <xdr:row>46</xdr:row>
      <xdr:rowOff>152400</xdr:rowOff>
    </xdr:to>
    <xdr:graphicFrame macro="">
      <xdr:nvGraphicFramePr>
        <xdr:cNvPr id="2072" name="Chart 1">
          <a:extLst>
            <a:ext uri="{FF2B5EF4-FFF2-40B4-BE49-F238E27FC236}">
              <a16:creationId xmlns:a16="http://schemas.microsoft.com/office/drawing/2014/main" id="{EA2DF2E5-E64A-F87E-4A20-1B2E96AA0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317500</xdr:colOff>
      <xdr:row>24</xdr:row>
      <xdr:rowOff>139700</xdr:rowOff>
    </xdr:from>
    <xdr:to>
      <xdr:col>83</xdr:col>
      <xdr:colOff>139700</xdr:colOff>
      <xdr:row>46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1D63D-8A7B-5F49-B6B3-76A000EE2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690B-8602-0542-97D1-A523FAD0045B}">
  <dimension ref="A1:A19"/>
  <sheetViews>
    <sheetView workbookViewId="0">
      <selection activeCell="D9" sqref="D9"/>
    </sheetView>
  </sheetViews>
  <sheetFormatPr baseColWidth="10" defaultRowHeight="13" x14ac:dyDescent="0.15"/>
  <cols>
    <col min="1" max="1" width="115.6640625" customWidth="1"/>
  </cols>
  <sheetData>
    <row r="1" spans="1:1" ht="65" customHeight="1" x14ac:dyDescent="0.15">
      <c r="A1" s="101" t="s">
        <v>121</v>
      </c>
    </row>
    <row r="2" spans="1:1" ht="17" x14ac:dyDescent="0.15">
      <c r="A2" s="101" t="s">
        <v>102</v>
      </c>
    </row>
    <row r="3" spans="1:1" ht="34" x14ac:dyDescent="0.15">
      <c r="A3" s="102" t="s">
        <v>103</v>
      </c>
    </row>
    <row r="4" spans="1:1" ht="17" x14ac:dyDescent="0.15">
      <c r="A4" s="102" t="s">
        <v>115</v>
      </c>
    </row>
    <row r="5" spans="1:1" ht="34" x14ac:dyDescent="0.15">
      <c r="A5" s="102" t="s">
        <v>116</v>
      </c>
    </row>
    <row r="6" spans="1:1" ht="16" x14ac:dyDescent="0.15">
      <c r="A6" s="104"/>
    </row>
    <row r="7" spans="1:1" ht="17" x14ac:dyDescent="0.15">
      <c r="A7" s="103" t="s">
        <v>104</v>
      </c>
    </row>
    <row r="8" spans="1:1" ht="17" x14ac:dyDescent="0.15">
      <c r="A8" s="103" t="s">
        <v>105</v>
      </c>
    </row>
    <row r="9" spans="1:1" ht="34" x14ac:dyDescent="0.15">
      <c r="A9" s="104" t="s">
        <v>117</v>
      </c>
    </row>
    <row r="10" spans="1:1" ht="34" x14ac:dyDescent="0.15">
      <c r="A10" s="104" t="s">
        <v>106</v>
      </c>
    </row>
    <row r="11" spans="1:1" ht="34" x14ac:dyDescent="0.15">
      <c r="A11" s="104" t="s">
        <v>107</v>
      </c>
    </row>
    <row r="12" spans="1:1" ht="17" x14ac:dyDescent="0.15">
      <c r="A12" s="103" t="s">
        <v>108</v>
      </c>
    </row>
    <row r="13" spans="1:1" ht="34" x14ac:dyDescent="0.15">
      <c r="A13" s="104" t="s">
        <v>109</v>
      </c>
    </row>
    <row r="14" spans="1:1" ht="17" x14ac:dyDescent="0.15">
      <c r="A14" s="104" t="s">
        <v>110</v>
      </c>
    </row>
    <row r="15" spans="1:1" ht="51" x14ac:dyDescent="0.15">
      <c r="A15" s="104" t="s">
        <v>118</v>
      </c>
    </row>
    <row r="16" spans="1:1" ht="17" x14ac:dyDescent="0.15">
      <c r="A16" s="104" t="s">
        <v>111</v>
      </c>
    </row>
    <row r="17" spans="1:1" ht="16" x14ac:dyDescent="0.15">
      <c r="A17" s="106"/>
    </row>
    <row r="18" spans="1:1" ht="17" x14ac:dyDescent="0.15">
      <c r="A18" s="105" t="s">
        <v>112</v>
      </c>
    </row>
    <row r="19" spans="1:1" ht="51" x14ac:dyDescent="0.15">
      <c r="A19" s="106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F5F6-0D3E-144E-934E-147FA1B4E6E9}">
  <dimension ref="A1:AB26"/>
  <sheetViews>
    <sheetView workbookViewId="0">
      <selection activeCell="R10" sqref="R10"/>
    </sheetView>
  </sheetViews>
  <sheetFormatPr baseColWidth="10" defaultRowHeight="13" x14ac:dyDescent="0.15"/>
  <cols>
    <col min="1" max="1" width="10.83203125" style="7"/>
    <col min="2" max="2" width="14.5" style="7" customWidth="1"/>
    <col min="3" max="3" width="5.83203125" style="7" customWidth="1"/>
    <col min="4" max="5" width="10.83203125" style="7"/>
  </cols>
  <sheetData>
    <row r="1" spans="1:28" ht="19" customHeight="1" x14ac:dyDescent="0.15">
      <c r="D1" s="86" t="s">
        <v>89</v>
      </c>
      <c r="E1" s="57"/>
      <c r="F1" s="55"/>
      <c r="S1" s="107" t="s">
        <v>120</v>
      </c>
    </row>
    <row r="2" spans="1:28" x14ac:dyDescent="0.15">
      <c r="A2" s="56" t="s">
        <v>66</v>
      </c>
      <c r="B2" s="87" t="s">
        <v>85</v>
      </c>
      <c r="C2" s="56"/>
      <c r="D2" s="57" t="s">
        <v>64</v>
      </c>
      <c r="E2" s="57" t="s">
        <v>65</v>
      </c>
      <c r="F2" s="57" t="s">
        <v>67</v>
      </c>
      <c r="G2" s="57" t="s">
        <v>68</v>
      </c>
      <c r="H2" s="57" t="s">
        <v>69</v>
      </c>
      <c r="I2" s="57" t="s">
        <v>70</v>
      </c>
      <c r="J2" s="57" t="s">
        <v>71</v>
      </c>
      <c r="K2" s="57" t="s">
        <v>72</v>
      </c>
      <c r="L2" s="57" t="s">
        <v>73</v>
      </c>
      <c r="M2" s="57" t="s">
        <v>74</v>
      </c>
      <c r="S2" s="56" t="s">
        <v>75</v>
      </c>
      <c r="T2" s="56" t="s">
        <v>76</v>
      </c>
      <c r="U2" s="56" t="s">
        <v>77</v>
      </c>
      <c r="V2" s="56" t="s">
        <v>78</v>
      </c>
      <c r="W2" s="56" t="s">
        <v>79</v>
      </c>
      <c r="X2" s="56" t="s">
        <v>80</v>
      </c>
      <c r="Y2" s="56" t="s">
        <v>81</v>
      </c>
      <c r="Z2" s="56" t="s">
        <v>82</v>
      </c>
      <c r="AA2" s="56" t="s">
        <v>83</v>
      </c>
      <c r="AB2" s="56" t="s">
        <v>84</v>
      </c>
    </row>
    <row r="3" spans="1:28" x14ac:dyDescent="0.15">
      <c r="A3" s="7">
        <v>1</v>
      </c>
      <c r="B3" s="88">
        <f>10^(AVERAGE(S3:AB3))</f>
        <v>12.220000000000004</v>
      </c>
      <c r="D3" s="57">
        <v>12.22</v>
      </c>
      <c r="E3" s="57"/>
      <c r="F3" s="55"/>
      <c r="G3" s="55"/>
      <c r="H3" s="55"/>
      <c r="I3" s="55"/>
      <c r="J3" s="55"/>
      <c r="K3" s="55"/>
      <c r="L3" s="55"/>
      <c r="M3" s="55"/>
      <c r="S3">
        <f>IF(ISNUMBER(D3),LOG(D3),"")</f>
        <v>1.0870712059065355</v>
      </c>
      <c r="T3" t="str">
        <f>IF(ISNUMBER(E3),LOG(E3),"")</f>
        <v/>
      </c>
      <c r="U3" t="str">
        <f t="shared" ref="U3:AB3" si="0">IF(ISNUMBER(F3),LOG(F3),"")</f>
        <v/>
      </c>
      <c r="V3" t="str">
        <f t="shared" si="0"/>
        <v/>
      </c>
      <c r="W3" t="str">
        <f t="shared" si="0"/>
        <v/>
      </c>
      <c r="X3" t="str">
        <f t="shared" si="0"/>
        <v/>
      </c>
      <c r="Y3" t="str">
        <f t="shared" si="0"/>
        <v/>
      </c>
      <c r="Z3" t="str">
        <f t="shared" si="0"/>
        <v/>
      </c>
      <c r="AA3" t="str">
        <f t="shared" si="0"/>
        <v/>
      </c>
      <c r="AB3" t="str">
        <f t="shared" si="0"/>
        <v/>
      </c>
    </row>
    <row r="4" spans="1:28" x14ac:dyDescent="0.15">
      <c r="A4" s="7">
        <v>2</v>
      </c>
      <c r="B4" s="88">
        <f t="shared" ref="B4:B26" si="1">10^(AVERAGE(S4:AB4))</f>
        <v>3.7600000000000002</v>
      </c>
      <c r="D4" s="57">
        <v>3.76</v>
      </c>
      <c r="E4" s="57"/>
      <c r="F4" s="55"/>
      <c r="G4" s="55"/>
      <c r="H4" s="55"/>
      <c r="I4" s="55"/>
      <c r="J4" s="55"/>
      <c r="K4" s="55"/>
      <c r="L4" s="55"/>
      <c r="M4" s="55"/>
      <c r="S4">
        <f t="shared" ref="S4:S26" si="2">IF(ISNUMBER(D4),LOG(D4),"")</f>
        <v>0.57518784492766106</v>
      </c>
      <c r="T4" t="str">
        <f t="shared" ref="T4:T26" si="3">IF(ISNUMBER(E4),LOG(E4),"")</f>
        <v/>
      </c>
      <c r="U4" t="str">
        <f t="shared" ref="U4:U26" si="4">IF(ISNUMBER(F4),LOG(F4),"")</f>
        <v/>
      </c>
      <c r="V4" t="str">
        <f t="shared" ref="V4:V26" si="5">IF(ISNUMBER(G4),LOG(G4),"")</f>
        <v/>
      </c>
      <c r="W4" t="str">
        <f t="shared" ref="W4:W26" si="6">IF(ISNUMBER(H4),LOG(H4),"")</f>
        <v/>
      </c>
      <c r="X4" t="str">
        <f t="shared" ref="X4:X26" si="7">IF(ISNUMBER(I4),LOG(I4),"")</f>
        <v/>
      </c>
      <c r="Y4" t="str">
        <f t="shared" ref="Y4:Y26" si="8">IF(ISNUMBER(J4),LOG(J4),"")</f>
        <v/>
      </c>
      <c r="Z4" t="str">
        <f t="shared" ref="Z4:Z26" si="9">IF(ISNUMBER(K4),LOG(K4),"")</f>
        <v/>
      </c>
      <c r="AA4" t="str">
        <f t="shared" ref="AA4:AA26" si="10">IF(ISNUMBER(L4),LOG(L4),"")</f>
        <v/>
      </c>
      <c r="AB4" t="str">
        <f t="shared" ref="AB4:AB26" si="11">IF(ISNUMBER(M4),LOG(M4),"")</f>
        <v/>
      </c>
    </row>
    <row r="5" spans="1:28" x14ac:dyDescent="0.15">
      <c r="A5" s="7">
        <v>3</v>
      </c>
      <c r="B5" s="88">
        <f t="shared" si="1"/>
        <v>12.700000000000001</v>
      </c>
      <c r="D5" s="57">
        <v>12.7</v>
      </c>
      <c r="E5" s="57"/>
      <c r="F5" s="55"/>
      <c r="G5" s="55"/>
      <c r="H5" s="55"/>
      <c r="I5" s="55"/>
      <c r="J5" s="55"/>
      <c r="K5" s="55"/>
      <c r="L5" s="55"/>
      <c r="M5" s="55"/>
      <c r="S5">
        <f t="shared" si="2"/>
        <v>1.1038037209559568</v>
      </c>
      <c r="T5" t="str">
        <f t="shared" si="3"/>
        <v/>
      </c>
      <c r="U5" t="str">
        <f t="shared" si="4"/>
        <v/>
      </c>
      <c r="V5" t="str">
        <f t="shared" si="5"/>
        <v/>
      </c>
      <c r="W5" t="str">
        <f t="shared" si="6"/>
        <v/>
      </c>
      <c r="X5" t="str">
        <f t="shared" si="7"/>
        <v/>
      </c>
      <c r="Y5" t="str">
        <f t="shared" si="8"/>
        <v/>
      </c>
      <c r="Z5" t="str">
        <f t="shared" si="9"/>
        <v/>
      </c>
      <c r="AA5" t="str">
        <f t="shared" si="10"/>
        <v/>
      </c>
      <c r="AB5" t="str">
        <f t="shared" si="11"/>
        <v/>
      </c>
    </row>
    <row r="6" spans="1:28" x14ac:dyDescent="0.15">
      <c r="A6" s="7">
        <v>4</v>
      </c>
      <c r="B6" s="88">
        <f t="shared" si="1"/>
        <v>10.949999999999998</v>
      </c>
      <c r="D6" s="57">
        <v>10.95</v>
      </c>
      <c r="E6" s="57"/>
      <c r="F6" s="55"/>
      <c r="G6" s="55"/>
      <c r="H6" s="55"/>
      <c r="I6" s="55"/>
      <c r="J6" s="55"/>
      <c r="K6" s="55"/>
      <c r="L6" s="55"/>
      <c r="M6" s="55"/>
      <c r="S6">
        <f t="shared" si="2"/>
        <v>1.039414119176137</v>
      </c>
      <c r="T6" t="str">
        <f t="shared" si="3"/>
        <v/>
      </c>
      <c r="U6" t="str">
        <f t="shared" si="4"/>
        <v/>
      </c>
      <c r="V6" t="str">
        <f t="shared" si="5"/>
        <v/>
      </c>
      <c r="W6" t="str">
        <f t="shared" si="6"/>
        <v/>
      </c>
      <c r="X6" t="str">
        <f t="shared" si="7"/>
        <v/>
      </c>
      <c r="Y6" t="str">
        <f t="shared" si="8"/>
        <v/>
      </c>
      <c r="Z6" t="str">
        <f t="shared" si="9"/>
        <v/>
      </c>
      <c r="AA6" t="str">
        <f t="shared" si="10"/>
        <v/>
      </c>
      <c r="AB6" t="str">
        <f t="shared" si="11"/>
        <v/>
      </c>
    </row>
    <row r="7" spans="1:28" x14ac:dyDescent="0.15">
      <c r="A7" s="7">
        <v>5</v>
      </c>
      <c r="B7" s="88">
        <f t="shared" si="1"/>
        <v>20.29</v>
      </c>
      <c r="D7" s="57">
        <v>20.29</v>
      </c>
      <c r="E7" s="57"/>
      <c r="F7" s="55"/>
      <c r="G7" s="55"/>
      <c r="H7" s="55"/>
      <c r="I7" s="55"/>
      <c r="J7" s="55"/>
      <c r="K7" s="55"/>
      <c r="L7" s="55"/>
      <c r="M7" s="55"/>
      <c r="S7">
        <f t="shared" si="2"/>
        <v>1.3072820470333459</v>
      </c>
      <c r="T7" t="str">
        <f t="shared" si="3"/>
        <v/>
      </c>
      <c r="U7" t="str">
        <f t="shared" si="4"/>
        <v/>
      </c>
      <c r="V7" t="str">
        <f t="shared" si="5"/>
        <v/>
      </c>
      <c r="W7" t="str">
        <f t="shared" si="6"/>
        <v/>
      </c>
      <c r="X7" t="str">
        <f t="shared" si="7"/>
        <v/>
      </c>
      <c r="Y7" t="str">
        <f t="shared" si="8"/>
        <v/>
      </c>
      <c r="Z7" t="str">
        <f t="shared" si="9"/>
        <v/>
      </c>
      <c r="AA7" t="str">
        <f t="shared" si="10"/>
        <v/>
      </c>
      <c r="AB7" t="str">
        <f t="shared" si="11"/>
        <v/>
      </c>
    </row>
    <row r="8" spans="1:28" x14ac:dyDescent="0.15">
      <c r="A8" s="7">
        <v>6</v>
      </c>
      <c r="B8" s="88">
        <f t="shared" si="1"/>
        <v>6.3800000000000026</v>
      </c>
      <c r="D8" s="57">
        <v>6.38</v>
      </c>
      <c r="E8" s="57"/>
      <c r="F8" s="55"/>
      <c r="G8" s="55"/>
      <c r="H8" s="55"/>
      <c r="I8" s="55"/>
      <c r="J8" s="55"/>
      <c r="K8" s="55"/>
      <c r="L8" s="55"/>
      <c r="M8" s="55"/>
      <c r="S8">
        <f t="shared" si="2"/>
        <v>0.80482067872116236</v>
      </c>
      <c r="T8" t="str">
        <f t="shared" si="3"/>
        <v/>
      </c>
      <c r="U8" t="str">
        <f t="shared" si="4"/>
        <v/>
      </c>
      <c r="V8" t="str">
        <f t="shared" si="5"/>
        <v/>
      </c>
      <c r="W8" t="str">
        <f t="shared" si="6"/>
        <v/>
      </c>
      <c r="X8" t="str">
        <f t="shared" si="7"/>
        <v/>
      </c>
      <c r="Y8" t="str">
        <f t="shared" si="8"/>
        <v/>
      </c>
      <c r="Z8" t="str">
        <f t="shared" si="9"/>
        <v/>
      </c>
      <c r="AA8" t="str">
        <f t="shared" si="10"/>
        <v/>
      </c>
      <c r="AB8" t="str">
        <f t="shared" si="11"/>
        <v/>
      </c>
    </row>
    <row r="9" spans="1:28" x14ac:dyDescent="0.15">
      <c r="A9" s="7">
        <v>7</v>
      </c>
      <c r="B9" s="88">
        <f t="shared" si="1"/>
        <v>16.530000000000005</v>
      </c>
      <c r="D9" s="57">
        <v>16.53</v>
      </c>
      <c r="E9" s="57"/>
      <c r="F9" s="55"/>
      <c r="G9" s="55"/>
      <c r="H9" s="55"/>
      <c r="I9" s="55"/>
      <c r="J9" s="55"/>
      <c r="K9" s="55"/>
      <c r="L9" s="55"/>
      <c r="M9" s="55"/>
      <c r="S9">
        <f t="shared" si="2"/>
        <v>1.2182728535714475</v>
      </c>
      <c r="T9" t="str">
        <f t="shared" si="3"/>
        <v/>
      </c>
      <c r="U9" t="str">
        <f t="shared" si="4"/>
        <v/>
      </c>
      <c r="V9" t="str">
        <f t="shared" si="5"/>
        <v/>
      </c>
      <c r="W9" t="str">
        <f t="shared" si="6"/>
        <v/>
      </c>
      <c r="X9" t="str">
        <f t="shared" si="7"/>
        <v/>
      </c>
      <c r="Y9" t="str">
        <f t="shared" si="8"/>
        <v/>
      </c>
      <c r="Z9" t="str">
        <f t="shared" si="9"/>
        <v/>
      </c>
      <c r="AA9" t="str">
        <f t="shared" si="10"/>
        <v/>
      </c>
      <c r="AB9" t="str">
        <f t="shared" si="11"/>
        <v/>
      </c>
    </row>
    <row r="10" spans="1:28" x14ac:dyDescent="0.15">
      <c r="A10" s="7">
        <v>8</v>
      </c>
      <c r="B10" s="88">
        <f t="shared" si="1"/>
        <v>16.052177422393516</v>
      </c>
      <c r="D10" s="57">
        <v>17.34</v>
      </c>
      <c r="E10" s="57">
        <v>14.86</v>
      </c>
      <c r="F10" s="55"/>
      <c r="G10" s="55"/>
      <c r="H10" s="55"/>
      <c r="I10" s="55"/>
      <c r="J10" s="55"/>
      <c r="K10" s="55"/>
      <c r="L10" s="55"/>
      <c r="M10" s="55"/>
      <c r="S10">
        <f t="shared" si="2"/>
        <v>1.2390490931401914</v>
      </c>
      <c r="T10">
        <f t="shared" si="3"/>
        <v>1.1720188094245565</v>
      </c>
      <c r="U10" t="str">
        <f t="shared" si="4"/>
        <v/>
      </c>
      <c r="V10" t="str">
        <f t="shared" si="5"/>
        <v/>
      </c>
      <c r="W10" t="str">
        <f t="shared" si="6"/>
        <v/>
      </c>
      <c r="X10" t="str">
        <f t="shared" si="7"/>
        <v/>
      </c>
      <c r="Y10" t="str">
        <f t="shared" si="8"/>
        <v/>
      </c>
      <c r="Z10" t="str">
        <f t="shared" si="9"/>
        <v/>
      </c>
      <c r="AA10" t="str">
        <f t="shared" si="10"/>
        <v/>
      </c>
      <c r="AB10" t="str">
        <f t="shared" si="11"/>
        <v/>
      </c>
    </row>
    <row r="11" spans="1:28" x14ac:dyDescent="0.15">
      <c r="A11" s="7">
        <v>9</v>
      </c>
      <c r="B11" s="88">
        <f t="shared" si="1"/>
        <v>17.276484017299357</v>
      </c>
      <c r="D11" s="57">
        <v>15.57</v>
      </c>
      <c r="E11" s="57">
        <v>19.170000000000002</v>
      </c>
      <c r="F11" s="55"/>
      <c r="G11" s="55"/>
      <c r="H11" s="55"/>
      <c r="I11" s="55"/>
      <c r="J11" s="55"/>
      <c r="K11" s="55"/>
      <c r="L11" s="55"/>
      <c r="M11" s="55"/>
      <c r="S11">
        <f t="shared" si="2"/>
        <v>1.1922886125681202</v>
      </c>
      <c r="T11">
        <f t="shared" si="3"/>
        <v>1.2826221128780626</v>
      </c>
      <c r="U11" t="str">
        <f t="shared" si="4"/>
        <v/>
      </c>
      <c r="V11" t="str">
        <f t="shared" si="5"/>
        <v/>
      </c>
      <c r="W11" t="str">
        <f t="shared" si="6"/>
        <v/>
      </c>
      <c r="X11" t="str">
        <f t="shared" si="7"/>
        <v/>
      </c>
      <c r="Y11" t="str">
        <f t="shared" si="8"/>
        <v/>
      </c>
      <c r="Z11" t="str">
        <f t="shared" si="9"/>
        <v/>
      </c>
      <c r="AA11" t="str">
        <f t="shared" si="10"/>
        <v/>
      </c>
      <c r="AB11" t="str">
        <f t="shared" si="11"/>
        <v/>
      </c>
    </row>
    <row r="12" spans="1:28" x14ac:dyDescent="0.15">
      <c r="A12" s="7">
        <v>10</v>
      </c>
      <c r="B12" s="88">
        <f t="shared" si="1"/>
        <v>14.570000000000006</v>
      </c>
      <c r="D12" s="57">
        <v>14.57</v>
      </c>
      <c r="E12" s="57"/>
      <c r="F12" s="55"/>
      <c r="G12" s="55"/>
      <c r="H12" s="55"/>
      <c r="I12" s="55"/>
      <c r="J12" s="55"/>
      <c r="K12" s="55"/>
      <c r="L12" s="55"/>
      <c r="M12" s="55"/>
      <c r="S12">
        <f t="shared" si="2"/>
        <v>1.1634595517699902</v>
      </c>
      <c r="T12" t="str">
        <f t="shared" si="3"/>
        <v/>
      </c>
      <c r="U12" t="str">
        <f t="shared" si="4"/>
        <v/>
      </c>
      <c r="V12" t="str">
        <f t="shared" si="5"/>
        <v/>
      </c>
      <c r="W12" t="str">
        <f t="shared" si="6"/>
        <v/>
      </c>
      <c r="X12" t="str">
        <f t="shared" si="7"/>
        <v/>
      </c>
      <c r="Y12" t="str">
        <f t="shared" si="8"/>
        <v/>
      </c>
      <c r="Z12" t="str">
        <f t="shared" si="9"/>
        <v/>
      </c>
      <c r="AA12" t="str">
        <f t="shared" si="10"/>
        <v/>
      </c>
      <c r="AB12" t="str">
        <f t="shared" si="11"/>
        <v/>
      </c>
    </row>
    <row r="13" spans="1:28" x14ac:dyDescent="0.15">
      <c r="A13" s="7">
        <v>11</v>
      </c>
      <c r="B13" s="88">
        <f t="shared" si="1"/>
        <v>13.510000000000003</v>
      </c>
      <c r="D13" s="57">
        <v>13.51</v>
      </c>
      <c r="E13" s="57"/>
      <c r="F13" s="55"/>
      <c r="G13" s="55"/>
      <c r="H13" s="55"/>
      <c r="I13" s="55"/>
      <c r="J13" s="55"/>
      <c r="K13" s="55"/>
      <c r="L13" s="55"/>
      <c r="M13" s="55"/>
      <c r="S13">
        <f t="shared" si="2"/>
        <v>1.1306553490220306</v>
      </c>
      <c r="T13" t="str">
        <f t="shared" si="3"/>
        <v/>
      </c>
      <c r="U13" t="str">
        <f t="shared" si="4"/>
        <v/>
      </c>
      <c r="V13" t="str">
        <f t="shared" si="5"/>
        <v/>
      </c>
      <c r="W13" t="str">
        <f t="shared" si="6"/>
        <v/>
      </c>
      <c r="X13" t="str">
        <f t="shared" si="7"/>
        <v/>
      </c>
      <c r="Y13" t="str">
        <f t="shared" si="8"/>
        <v/>
      </c>
      <c r="Z13" t="str">
        <f t="shared" si="9"/>
        <v/>
      </c>
      <c r="AA13" t="str">
        <f t="shared" si="10"/>
        <v/>
      </c>
      <c r="AB13" t="str">
        <f t="shared" si="11"/>
        <v/>
      </c>
    </row>
    <row r="14" spans="1:28" x14ac:dyDescent="0.15">
      <c r="A14" s="7">
        <v>12</v>
      </c>
      <c r="B14" s="88">
        <f t="shared" si="1"/>
        <v>13.370000000000003</v>
      </c>
      <c r="D14" s="57">
        <v>13.37</v>
      </c>
      <c r="E14" s="57"/>
      <c r="F14" s="55"/>
      <c r="G14" s="55"/>
      <c r="H14" s="55"/>
      <c r="I14" s="55"/>
      <c r="J14" s="55"/>
      <c r="K14" s="55"/>
      <c r="L14" s="55"/>
      <c r="M14" s="55"/>
      <c r="S14">
        <f t="shared" si="2"/>
        <v>1.1261314072619844</v>
      </c>
      <c r="T14" t="str">
        <f t="shared" si="3"/>
        <v/>
      </c>
      <c r="U14" t="str">
        <f t="shared" si="4"/>
        <v/>
      </c>
      <c r="V14" t="str">
        <f t="shared" si="5"/>
        <v/>
      </c>
      <c r="W14" t="str">
        <f t="shared" si="6"/>
        <v/>
      </c>
      <c r="X14" t="str">
        <f t="shared" si="7"/>
        <v/>
      </c>
      <c r="Y14" t="str">
        <f t="shared" si="8"/>
        <v/>
      </c>
      <c r="Z14" t="str">
        <f t="shared" si="9"/>
        <v/>
      </c>
      <c r="AA14" t="str">
        <f t="shared" si="10"/>
        <v/>
      </c>
      <c r="AB14" t="str">
        <f t="shared" si="11"/>
        <v/>
      </c>
    </row>
    <row r="15" spans="1:28" x14ac:dyDescent="0.15">
      <c r="A15" s="7">
        <v>13</v>
      </c>
      <c r="B15" s="88">
        <f t="shared" si="1"/>
        <v>13.880000000000004</v>
      </c>
      <c r="D15" s="57">
        <v>13.88</v>
      </c>
      <c r="E15" s="57"/>
      <c r="F15" s="55"/>
      <c r="G15" s="55"/>
      <c r="H15" s="55"/>
      <c r="I15" s="55"/>
      <c r="J15" s="55"/>
      <c r="K15" s="55"/>
      <c r="L15" s="55"/>
      <c r="M15" s="55"/>
      <c r="S15">
        <f t="shared" si="2"/>
        <v>1.1423894661188361</v>
      </c>
      <c r="T15" t="str">
        <f t="shared" si="3"/>
        <v/>
      </c>
      <c r="U15" t="str">
        <f t="shared" si="4"/>
        <v/>
      </c>
      <c r="V15" t="str">
        <f t="shared" si="5"/>
        <v/>
      </c>
      <c r="W15" t="str">
        <f t="shared" si="6"/>
        <v/>
      </c>
      <c r="X15" t="str">
        <f t="shared" si="7"/>
        <v/>
      </c>
      <c r="Y15" t="str">
        <f t="shared" si="8"/>
        <v/>
      </c>
      <c r="Z15" t="str">
        <f t="shared" si="9"/>
        <v/>
      </c>
      <c r="AA15" t="str">
        <f t="shared" si="10"/>
        <v/>
      </c>
      <c r="AB15" t="str">
        <f t="shared" si="11"/>
        <v/>
      </c>
    </row>
    <row r="16" spans="1:28" x14ac:dyDescent="0.15">
      <c r="A16" s="7">
        <v>14</v>
      </c>
      <c r="B16" s="88">
        <f t="shared" si="1"/>
        <v>15.890000000000006</v>
      </c>
      <c r="D16" s="57">
        <v>15.89</v>
      </c>
      <c r="E16" s="57"/>
      <c r="F16" s="55"/>
      <c r="G16" s="55"/>
      <c r="H16" s="55"/>
      <c r="I16" s="55"/>
      <c r="J16" s="55"/>
      <c r="K16" s="55"/>
      <c r="L16" s="55"/>
      <c r="M16" s="55"/>
      <c r="S16">
        <f t="shared" si="2"/>
        <v>1.2011238972073797</v>
      </c>
      <c r="T16" t="str">
        <f t="shared" si="3"/>
        <v/>
      </c>
      <c r="U16" t="str">
        <f t="shared" si="4"/>
        <v/>
      </c>
      <c r="V16" t="str">
        <f t="shared" si="5"/>
        <v/>
      </c>
      <c r="W16" t="str">
        <f t="shared" si="6"/>
        <v/>
      </c>
      <c r="X16" t="str">
        <f t="shared" si="7"/>
        <v/>
      </c>
      <c r="Y16" t="str">
        <f t="shared" si="8"/>
        <v/>
      </c>
      <c r="Z16" t="str">
        <f t="shared" si="9"/>
        <v/>
      </c>
      <c r="AA16" t="str">
        <f t="shared" si="10"/>
        <v/>
      </c>
      <c r="AB16" t="str">
        <f t="shared" si="11"/>
        <v/>
      </c>
    </row>
    <row r="17" spans="1:28" x14ac:dyDescent="0.15">
      <c r="A17" s="7">
        <v>15</v>
      </c>
      <c r="B17" s="88">
        <f t="shared" si="1"/>
        <v>8.2805011925607523</v>
      </c>
      <c r="D17" s="57">
        <v>5.57</v>
      </c>
      <c r="E17" s="57">
        <v>12.31</v>
      </c>
      <c r="F17" s="55"/>
      <c r="G17" s="55"/>
      <c r="H17" s="55"/>
      <c r="I17" s="55"/>
      <c r="J17" s="55"/>
      <c r="K17" s="55"/>
      <c r="L17" s="55"/>
      <c r="M17" s="55"/>
      <c r="S17">
        <f t="shared" si="2"/>
        <v>0.74585519517372889</v>
      </c>
      <c r="T17">
        <f t="shared" si="3"/>
        <v>1.0902580529313164</v>
      </c>
      <c r="U17" t="str">
        <f t="shared" si="4"/>
        <v/>
      </c>
      <c r="V17" t="str">
        <f t="shared" si="5"/>
        <v/>
      </c>
      <c r="W17" t="str">
        <f t="shared" si="6"/>
        <v/>
      </c>
      <c r="X17" t="str">
        <f t="shared" si="7"/>
        <v/>
      </c>
      <c r="Y17" t="str">
        <f t="shared" si="8"/>
        <v/>
      </c>
      <c r="Z17" t="str">
        <f t="shared" si="9"/>
        <v/>
      </c>
      <c r="AA17" t="str">
        <f t="shared" si="10"/>
        <v/>
      </c>
      <c r="AB17" t="str">
        <f t="shared" si="11"/>
        <v/>
      </c>
    </row>
    <row r="18" spans="1:28" x14ac:dyDescent="0.15">
      <c r="A18" s="7">
        <v>16</v>
      </c>
      <c r="B18" s="88">
        <f t="shared" si="1"/>
        <v>7.2800000000000011</v>
      </c>
      <c r="D18" s="57">
        <v>7.28</v>
      </c>
      <c r="E18" s="57"/>
      <c r="F18" s="55"/>
      <c r="G18" s="55"/>
      <c r="H18" s="55"/>
      <c r="I18" s="55"/>
      <c r="J18" s="55"/>
      <c r="K18" s="55"/>
      <c r="L18" s="55"/>
      <c r="M18" s="55"/>
      <c r="S18">
        <f t="shared" si="2"/>
        <v>0.86213137931303718</v>
      </c>
      <c r="T18" t="str">
        <f t="shared" si="3"/>
        <v/>
      </c>
      <c r="U18" t="str">
        <f t="shared" si="4"/>
        <v/>
      </c>
      <c r="V18" t="str">
        <f t="shared" si="5"/>
        <v/>
      </c>
      <c r="W18" t="str">
        <f t="shared" si="6"/>
        <v/>
      </c>
      <c r="X18" t="str">
        <f t="shared" si="7"/>
        <v/>
      </c>
      <c r="Y18" t="str">
        <f t="shared" si="8"/>
        <v/>
      </c>
      <c r="Z18" t="str">
        <f t="shared" si="9"/>
        <v/>
      </c>
      <c r="AA18" t="str">
        <f t="shared" si="10"/>
        <v/>
      </c>
      <c r="AB18" t="str">
        <f t="shared" si="11"/>
        <v/>
      </c>
    </row>
    <row r="19" spans="1:28" x14ac:dyDescent="0.15">
      <c r="A19" s="7">
        <v>17</v>
      </c>
      <c r="B19" s="88">
        <f t="shared" si="1"/>
        <v>24.560000000000009</v>
      </c>
      <c r="D19" s="57">
        <v>24.56</v>
      </c>
      <c r="E19" s="57"/>
      <c r="F19" s="55"/>
      <c r="G19" s="55"/>
      <c r="H19" s="55"/>
      <c r="I19" s="55"/>
      <c r="J19" s="55"/>
      <c r="K19" s="55"/>
      <c r="L19" s="55"/>
      <c r="M19" s="55"/>
      <c r="S19">
        <f t="shared" si="2"/>
        <v>1.3902283624691301</v>
      </c>
      <c r="T19" t="str">
        <f t="shared" si="3"/>
        <v/>
      </c>
      <c r="U19" t="str">
        <f t="shared" si="4"/>
        <v/>
      </c>
      <c r="V19" t="str">
        <f t="shared" si="5"/>
        <v/>
      </c>
      <c r="W19" t="str">
        <f t="shared" si="6"/>
        <v/>
      </c>
      <c r="X19" t="str">
        <f t="shared" si="7"/>
        <v/>
      </c>
      <c r="Y19" t="str">
        <f t="shared" si="8"/>
        <v/>
      </c>
      <c r="Z19" t="str">
        <f t="shared" si="9"/>
        <v/>
      </c>
      <c r="AA19" t="str">
        <f t="shared" si="10"/>
        <v/>
      </c>
      <c r="AB19" t="str">
        <f t="shared" si="11"/>
        <v/>
      </c>
    </row>
    <row r="20" spans="1:28" x14ac:dyDescent="0.15">
      <c r="A20" s="7">
        <v>18</v>
      </c>
      <c r="B20" s="88">
        <f t="shared" si="1"/>
        <v>18.590000000000003</v>
      </c>
      <c r="D20" s="57">
        <v>18.59</v>
      </c>
      <c r="E20" s="57"/>
      <c r="F20" s="55"/>
      <c r="G20" s="55"/>
      <c r="H20" s="55"/>
      <c r="I20" s="55"/>
      <c r="J20" s="55"/>
      <c r="K20" s="55"/>
      <c r="L20" s="55"/>
      <c r="M20" s="55"/>
      <c r="S20">
        <f t="shared" si="2"/>
        <v>1.2692793897718986</v>
      </c>
      <c r="T20" t="str">
        <f t="shared" si="3"/>
        <v/>
      </c>
      <c r="U20" t="str">
        <f t="shared" si="4"/>
        <v/>
      </c>
      <c r="V20" t="str">
        <f t="shared" si="5"/>
        <v/>
      </c>
      <c r="W20" t="str">
        <f t="shared" si="6"/>
        <v/>
      </c>
      <c r="X20" t="str">
        <f t="shared" si="7"/>
        <v/>
      </c>
      <c r="Y20" t="str">
        <f t="shared" si="8"/>
        <v/>
      </c>
      <c r="Z20" t="str">
        <f t="shared" si="9"/>
        <v/>
      </c>
      <c r="AA20" t="str">
        <f t="shared" si="10"/>
        <v/>
      </c>
      <c r="AB20" t="str">
        <f t="shared" si="11"/>
        <v/>
      </c>
    </row>
    <row r="21" spans="1:28" x14ac:dyDescent="0.15">
      <c r="A21" s="7">
        <v>19</v>
      </c>
      <c r="B21" s="88">
        <f t="shared" si="1"/>
        <v>17.025627741731</v>
      </c>
      <c r="D21" s="57">
        <v>16.47</v>
      </c>
      <c r="E21" s="57">
        <v>17.600000000000001</v>
      </c>
      <c r="F21" s="55"/>
      <c r="G21" s="55"/>
      <c r="H21" s="55"/>
      <c r="I21" s="55"/>
      <c r="J21" s="55"/>
      <c r="K21" s="55"/>
      <c r="L21" s="55"/>
      <c r="M21" s="55"/>
      <c r="S21">
        <f t="shared" si="2"/>
        <v>1.2166935991697543</v>
      </c>
      <c r="T21">
        <f t="shared" si="3"/>
        <v>1.2455126678141499</v>
      </c>
      <c r="U21" t="str">
        <f t="shared" si="4"/>
        <v/>
      </c>
      <c r="V21" t="str">
        <f t="shared" si="5"/>
        <v/>
      </c>
      <c r="W21" t="str">
        <f t="shared" si="6"/>
        <v/>
      </c>
      <c r="X21" t="str">
        <f t="shared" si="7"/>
        <v/>
      </c>
      <c r="Y21" t="str">
        <f t="shared" si="8"/>
        <v/>
      </c>
      <c r="Z21" t="str">
        <f t="shared" si="9"/>
        <v/>
      </c>
      <c r="AA21" t="str">
        <f t="shared" si="10"/>
        <v/>
      </c>
      <c r="AB21" t="str">
        <f t="shared" si="11"/>
        <v/>
      </c>
    </row>
    <row r="22" spans="1:28" x14ac:dyDescent="0.15">
      <c r="A22" s="7">
        <v>20</v>
      </c>
      <c r="B22" s="88">
        <f t="shared" si="1"/>
        <v>10.220000000000001</v>
      </c>
      <c r="D22" s="57">
        <v>10.220000000000001</v>
      </c>
      <c r="E22" s="57"/>
      <c r="F22" s="55"/>
      <c r="G22" s="55"/>
      <c r="H22" s="55"/>
      <c r="I22" s="55"/>
      <c r="J22" s="55"/>
      <c r="K22" s="55"/>
      <c r="L22" s="55"/>
      <c r="M22" s="55"/>
      <c r="S22">
        <f t="shared" si="2"/>
        <v>1.0094508957986938</v>
      </c>
      <c r="T22" t="str">
        <f t="shared" si="3"/>
        <v/>
      </c>
      <c r="U22" t="str">
        <f t="shared" si="4"/>
        <v/>
      </c>
      <c r="V22" t="str">
        <f t="shared" si="5"/>
        <v/>
      </c>
      <c r="W22" t="str">
        <f t="shared" si="6"/>
        <v/>
      </c>
      <c r="X22" t="str">
        <f t="shared" si="7"/>
        <v/>
      </c>
      <c r="Y22" t="str">
        <f t="shared" si="8"/>
        <v/>
      </c>
      <c r="Z22" t="str">
        <f t="shared" si="9"/>
        <v/>
      </c>
      <c r="AA22" t="str">
        <f t="shared" si="10"/>
        <v/>
      </c>
      <c r="AB22" t="str">
        <f t="shared" si="11"/>
        <v/>
      </c>
    </row>
    <row r="23" spans="1:28" x14ac:dyDescent="0.15">
      <c r="A23" s="7">
        <v>21</v>
      </c>
      <c r="B23" s="88">
        <f t="shared" si="1"/>
        <v>8.455294199494185</v>
      </c>
      <c r="D23" s="57">
        <v>12.2</v>
      </c>
      <c r="E23" s="57">
        <v>5.86</v>
      </c>
      <c r="F23" s="55"/>
      <c r="G23" s="55"/>
      <c r="H23" s="55"/>
      <c r="I23" s="55"/>
      <c r="J23" s="55"/>
      <c r="K23" s="55"/>
      <c r="L23" s="55"/>
      <c r="M23" s="55"/>
      <c r="S23">
        <f t="shared" si="2"/>
        <v>1.0863598306747482</v>
      </c>
      <c r="T23">
        <f t="shared" si="3"/>
        <v>0.7678976160180907</v>
      </c>
      <c r="U23" t="str">
        <f t="shared" si="4"/>
        <v/>
      </c>
      <c r="V23" t="str">
        <f t="shared" si="5"/>
        <v/>
      </c>
      <c r="W23" t="str">
        <f t="shared" si="6"/>
        <v/>
      </c>
      <c r="X23" t="str">
        <f t="shared" si="7"/>
        <v/>
      </c>
      <c r="Y23" t="str">
        <f t="shared" si="8"/>
        <v/>
      </c>
      <c r="Z23" t="str">
        <f t="shared" si="9"/>
        <v/>
      </c>
      <c r="AA23" t="str">
        <f t="shared" si="10"/>
        <v/>
      </c>
      <c r="AB23" t="str">
        <f t="shared" si="11"/>
        <v/>
      </c>
    </row>
    <row r="24" spans="1:28" x14ac:dyDescent="0.15">
      <c r="A24" s="7">
        <v>22</v>
      </c>
      <c r="B24" s="88">
        <f t="shared" si="1"/>
        <v>13.14</v>
      </c>
      <c r="D24" s="57">
        <v>13.14</v>
      </c>
      <c r="E24" s="57"/>
      <c r="F24" s="55"/>
      <c r="G24" s="55"/>
      <c r="H24" s="55"/>
      <c r="I24" s="55"/>
      <c r="J24" s="55"/>
      <c r="K24" s="55"/>
      <c r="L24" s="55"/>
      <c r="M24" s="55"/>
      <c r="S24">
        <f t="shared" si="2"/>
        <v>1.1185953652237619</v>
      </c>
      <c r="T24" t="str">
        <f t="shared" si="3"/>
        <v/>
      </c>
      <c r="U24" t="str">
        <f t="shared" si="4"/>
        <v/>
      </c>
      <c r="V24" t="str">
        <f t="shared" si="5"/>
        <v/>
      </c>
      <c r="W24" t="str">
        <f t="shared" si="6"/>
        <v/>
      </c>
      <c r="X24" t="str">
        <f t="shared" si="7"/>
        <v/>
      </c>
      <c r="Y24" t="str">
        <f t="shared" si="8"/>
        <v/>
      </c>
      <c r="Z24" t="str">
        <f t="shared" si="9"/>
        <v/>
      </c>
      <c r="AA24" t="str">
        <f t="shared" si="10"/>
        <v/>
      </c>
      <c r="AB24" t="str">
        <f t="shared" si="11"/>
        <v/>
      </c>
    </row>
    <row r="25" spans="1:28" x14ac:dyDescent="0.15">
      <c r="A25" s="7">
        <v>23</v>
      </c>
      <c r="B25" s="88">
        <f t="shared" si="1"/>
        <v>16.285567229912512</v>
      </c>
      <c r="D25" s="57">
        <v>16.670000000000002</v>
      </c>
      <c r="E25" s="57">
        <v>15.91</v>
      </c>
      <c r="F25" s="55"/>
      <c r="G25" s="55"/>
      <c r="H25" s="55"/>
      <c r="I25" s="55"/>
      <c r="J25" s="55"/>
      <c r="K25" s="55"/>
      <c r="L25" s="55"/>
      <c r="M25" s="55"/>
      <c r="S25">
        <f t="shared" si="2"/>
        <v>1.2219355998280053</v>
      </c>
      <c r="T25">
        <f t="shared" si="3"/>
        <v>1.2016701796465816</v>
      </c>
      <c r="U25" t="str">
        <f t="shared" si="4"/>
        <v/>
      </c>
      <c r="V25" t="str">
        <f t="shared" si="5"/>
        <v/>
      </c>
      <c r="W25" t="str">
        <f t="shared" si="6"/>
        <v/>
      </c>
      <c r="X25" t="str">
        <f t="shared" si="7"/>
        <v/>
      </c>
      <c r="Y25" t="str">
        <f t="shared" si="8"/>
        <v/>
      </c>
      <c r="Z25" t="str">
        <f t="shared" si="9"/>
        <v/>
      </c>
      <c r="AA25" t="str">
        <f t="shared" si="10"/>
        <v/>
      </c>
      <c r="AB25" t="str">
        <f t="shared" si="11"/>
        <v/>
      </c>
    </row>
    <row r="26" spans="1:28" x14ac:dyDescent="0.15">
      <c r="A26" s="7">
        <v>24</v>
      </c>
      <c r="B26" s="88">
        <f t="shared" si="1"/>
        <v>19.360000000000003</v>
      </c>
      <c r="D26" s="57">
        <v>19.36</v>
      </c>
      <c r="E26" s="57"/>
      <c r="F26" s="55"/>
      <c r="G26" s="55"/>
      <c r="H26" s="55"/>
      <c r="I26" s="55"/>
      <c r="J26" s="55"/>
      <c r="K26" s="55"/>
      <c r="L26" s="55"/>
      <c r="M26" s="55"/>
      <c r="S26">
        <f t="shared" si="2"/>
        <v>1.2869053529723748</v>
      </c>
      <c r="T26" t="str">
        <f t="shared" si="3"/>
        <v/>
      </c>
      <c r="U26" t="str">
        <f t="shared" si="4"/>
        <v/>
      </c>
      <c r="V26" t="str">
        <f t="shared" si="5"/>
        <v/>
      </c>
      <c r="W26" t="str">
        <f t="shared" si="6"/>
        <v/>
      </c>
      <c r="X26" t="str">
        <f t="shared" si="7"/>
        <v/>
      </c>
      <c r="Y26" t="str">
        <f t="shared" si="8"/>
        <v/>
      </c>
      <c r="Z26" t="str">
        <f t="shared" si="9"/>
        <v/>
      </c>
      <c r="AA26" t="str">
        <f t="shared" si="10"/>
        <v/>
      </c>
      <c r="AB26" t="str">
        <f t="shared" si="11"/>
        <v/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C880-1CBF-B64D-9A87-A86FE497BD9A}">
  <dimension ref="A1:IU310"/>
  <sheetViews>
    <sheetView workbookViewId="0">
      <selection activeCell="F23" sqref="F23"/>
    </sheetView>
  </sheetViews>
  <sheetFormatPr baseColWidth="10" defaultColWidth="8.83203125" defaultRowHeight="13" x14ac:dyDescent="0.15"/>
  <cols>
    <col min="1" max="1" width="12" customWidth="1"/>
    <col min="2" max="2" width="9" customWidth="1"/>
    <col min="3" max="3" width="7.83203125" customWidth="1"/>
    <col min="4" max="4" width="9.83203125" customWidth="1"/>
    <col min="5" max="6" width="9" style="3" customWidth="1"/>
    <col min="7" max="7" width="11.1640625" style="3" customWidth="1"/>
    <col min="8" max="8" width="10" style="3" customWidth="1"/>
    <col min="9" max="9" width="10.1640625" style="1" bestFit="1" customWidth="1"/>
    <col min="10" max="10" width="12.33203125" style="6" customWidth="1"/>
    <col min="11" max="11" width="11" customWidth="1"/>
    <col min="12" max="12" width="7.6640625" style="3" bestFit="1" customWidth="1"/>
    <col min="13" max="24" width="9.33203125" bestFit="1" customWidth="1"/>
    <col min="25" max="25" width="11.1640625" bestFit="1" customWidth="1"/>
    <col min="26" max="74" width="9.33203125" bestFit="1" customWidth="1"/>
    <col min="75" max="77" width="9.33203125" style="21" bestFit="1" customWidth="1"/>
    <col min="78" max="79" width="8.83203125" style="21"/>
  </cols>
  <sheetData>
    <row r="1" spans="1:12" ht="14.25" customHeight="1" x14ac:dyDescent="0.25">
      <c r="A1" s="20"/>
      <c r="B1" s="4"/>
      <c r="C1" s="4"/>
      <c r="D1" s="4"/>
      <c r="E1" s="4"/>
      <c r="F1" s="4"/>
      <c r="G1" s="4"/>
      <c r="H1" s="4"/>
      <c r="I1" s="4"/>
      <c r="J1" s="5"/>
      <c r="K1" s="4"/>
    </row>
    <row r="2" spans="1:12" ht="24" customHeight="1" x14ac:dyDescent="0.25">
      <c r="A2" s="4" t="s">
        <v>63</v>
      </c>
      <c r="B2" s="4"/>
      <c r="C2" s="4"/>
      <c r="D2" s="4"/>
      <c r="E2" s="4"/>
      <c r="F2" s="53"/>
      <c r="G2" s="4"/>
      <c r="H2" s="4"/>
      <c r="I2" s="4"/>
      <c r="J2" s="43"/>
      <c r="K2" s="4"/>
    </row>
    <row r="5" spans="1:12" x14ac:dyDescent="0.15">
      <c r="A5" s="91" t="s">
        <v>87</v>
      </c>
      <c r="B5" s="60"/>
      <c r="C5" s="61"/>
      <c r="D5" s="1"/>
      <c r="E5" s="6"/>
      <c r="F5"/>
      <c r="H5"/>
      <c r="I5"/>
      <c r="J5"/>
      <c r="L5"/>
    </row>
    <row r="6" spans="1:12" x14ac:dyDescent="0.15">
      <c r="A6" s="92"/>
      <c r="B6" s="93" t="s">
        <v>49</v>
      </c>
      <c r="C6" s="90"/>
      <c r="D6" s="1"/>
      <c r="E6" s="6"/>
      <c r="F6"/>
      <c r="H6"/>
      <c r="I6"/>
      <c r="J6"/>
      <c r="L6"/>
    </row>
    <row r="7" spans="1:12" ht="15" x14ac:dyDescent="0.15">
      <c r="A7" s="62" t="s">
        <v>58</v>
      </c>
      <c r="B7" s="94">
        <v>3.22</v>
      </c>
      <c r="C7" s="90" t="s">
        <v>93</v>
      </c>
      <c r="D7" s="1"/>
      <c r="E7" s="6"/>
      <c r="F7"/>
      <c r="H7"/>
      <c r="I7"/>
      <c r="J7"/>
      <c r="L7"/>
    </row>
    <row r="8" spans="1:12" x14ac:dyDescent="0.15">
      <c r="A8" s="62" t="s">
        <v>60</v>
      </c>
      <c r="B8" s="93">
        <v>238.05099999999999</v>
      </c>
      <c r="C8" s="90" t="s">
        <v>94</v>
      </c>
      <c r="D8" s="1"/>
      <c r="E8" s="6"/>
      <c r="F8"/>
      <c r="H8"/>
      <c r="I8"/>
      <c r="J8"/>
      <c r="L8"/>
    </row>
    <row r="9" spans="1:12" x14ac:dyDescent="0.15">
      <c r="A9" s="63" t="s">
        <v>59</v>
      </c>
      <c r="B9" s="93">
        <v>6.0220000000000003E+23</v>
      </c>
      <c r="C9" s="90"/>
      <c r="D9" s="1"/>
      <c r="E9" s="6"/>
      <c r="F9"/>
      <c r="H9"/>
      <c r="I9"/>
      <c r="J9"/>
      <c r="L9"/>
    </row>
    <row r="10" spans="1:12" ht="15" x14ac:dyDescent="0.15">
      <c r="A10" s="63" t="s">
        <v>57</v>
      </c>
      <c r="B10" s="93">
        <v>8.5000000000000001E-17</v>
      </c>
      <c r="C10" s="90" t="s">
        <v>95</v>
      </c>
      <c r="D10" s="1"/>
      <c r="E10" s="6"/>
      <c r="F10"/>
      <c r="H10"/>
      <c r="I10"/>
      <c r="J10"/>
      <c r="L10"/>
    </row>
    <row r="11" spans="1:12" ht="15" x14ac:dyDescent="0.15">
      <c r="A11" s="64" t="s">
        <v>50</v>
      </c>
      <c r="B11" s="95">
        <v>390</v>
      </c>
      <c r="C11" s="90" t="s">
        <v>96</v>
      </c>
      <c r="D11" s="1"/>
      <c r="E11" s="6"/>
      <c r="F11"/>
      <c r="H11"/>
      <c r="I11"/>
      <c r="J11"/>
      <c r="L11"/>
    </row>
    <row r="12" spans="1:12" x14ac:dyDescent="0.15">
      <c r="A12" s="64" t="s">
        <v>98</v>
      </c>
      <c r="B12" s="96">
        <v>1322000</v>
      </c>
      <c r="C12" s="97" t="s">
        <v>43</v>
      </c>
      <c r="D12" s="1"/>
      <c r="E12" s="6"/>
      <c r="F12"/>
      <c r="G12"/>
      <c r="H12"/>
      <c r="I12"/>
      <c r="J12"/>
      <c r="L12"/>
    </row>
    <row r="13" spans="1:12" x14ac:dyDescent="0.15">
      <c r="A13" s="64" t="s">
        <v>61</v>
      </c>
      <c r="B13" s="95">
        <v>16.2</v>
      </c>
      <c r="C13" s="97" t="s">
        <v>101</v>
      </c>
      <c r="D13" s="1"/>
      <c r="E13" s="6"/>
      <c r="F13"/>
      <c r="G13"/>
      <c r="H13"/>
      <c r="I13"/>
      <c r="J13"/>
      <c r="L13"/>
    </row>
    <row r="14" spans="1:12" ht="15" x14ac:dyDescent="0.15">
      <c r="A14" s="64" t="s">
        <v>97</v>
      </c>
      <c r="B14" s="96">
        <v>137.81800000000001</v>
      </c>
      <c r="C14" s="97"/>
      <c r="D14" s="1"/>
      <c r="E14" s="6"/>
      <c r="F14"/>
      <c r="G14"/>
      <c r="H14"/>
      <c r="I14"/>
      <c r="J14"/>
      <c r="L14"/>
    </row>
    <row r="15" spans="1:12" x14ac:dyDescent="0.15">
      <c r="A15" s="64" t="s">
        <v>62</v>
      </c>
      <c r="B15" s="94">
        <v>0.93</v>
      </c>
      <c r="C15" s="97"/>
      <c r="D15" s="1"/>
      <c r="E15" s="6"/>
      <c r="F15"/>
      <c r="G15"/>
      <c r="H15"/>
      <c r="I15"/>
      <c r="J15"/>
      <c r="L15"/>
    </row>
    <row r="16" spans="1:12" x14ac:dyDescent="0.15">
      <c r="A16" s="64"/>
      <c r="B16" s="94"/>
      <c r="C16" s="97"/>
      <c r="D16" s="1"/>
      <c r="E16" s="6"/>
      <c r="F16"/>
      <c r="G16"/>
      <c r="H16"/>
      <c r="I16"/>
      <c r="J16"/>
      <c r="L16"/>
    </row>
    <row r="17" spans="1:255" x14ac:dyDescent="0.15">
      <c r="A17" s="64" t="s">
        <v>56</v>
      </c>
      <c r="B17" s="65">
        <f>B10*B11*B12*B7*B9/B8/1000000</f>
        <v>356978122.08812404</v>
      </c>
      <c r="C17" s="90"/>
      <c r="D17" s="1"/>
      <c r="E17" s="6"/>
      <c r="F17"/>
      <c r="H17"/>
      <c r="I17"/>
      <c r="J17"/>
      <c r="L17"/>
    </row>
    <row r="18" spans="1:255" x14ac:dyDescent="0.15">
      <c r="A18" s="66"/>
      <c r="B18" s="98"/>
      <c r="C18" s="99"/>
      <c r="D18" s="1"/>
      <c r="E18" s="6"/>
      <c r="F18"/>
      <c r="H18"/>
      <c r="I18"/>
      <c r="J18"/>
      <c r="L18"/>
    </row>
    <row r="20" spans="1:255" x14ac:dyDescent="0.15">
      <c r="A20" t="s">
        <v>46</v>
      </c>
    </row>
    <row r="21" spans="1:255" x14ac:dyDescent="0.15">
      <c r="F21" s="1"/>
      <c r="G21" s="6"/>
      <c r="I21"/>
      <c r="J21" s="8"/>
      <c r="L21" s="2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41"/>
      <c r="BT21" s="41"/>
      <c r="BU21" s="41"/>
      <c r="BV21" s="41"/>
      <c r="BW21" s="41"/>
      <c r="BX21" s="8"/>
      <c r="BY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</row>
    <row r="22" spans="1:255" ht="22" customHeight="1" x14ac:dyDescent="0.15">
      <c r="D22" s="89"/>
      <c r="F22" s="109" t="s">
        <v>122</v>
      </c>
      <c r="G22" s="109"/>
      <c r="H22" s="108" t="s">
        <v>90</v>
      </c>
      <c r="I22" s="108"/>
      <c r="J22" s="108"/>
      <c r="K22" s="22" t="s">
        <v>91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41"/>
      <c r="BT22" s="41"/>
      <c r="BU22" s="41"/>
      <c r="BV22" s="41"/>
      <c r="BW22" s="41"/>
      <c r="BX22" s="8"/>
      <c r="BY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</row>
    <row r="23" spans="1:255" ht="22" customHeight="1" x14ac:dyDescent="0.2">
      <c r="A23" s="85" t="s">
        <v>88</v>
      </c>
      <c r="B23" s="84"/>
      <c r="C23" s="84"/>
      <c r="F23" s="1"/>
      <c r="G23" s="6"/>
      <c r="I23"/>
      <c r="J23" s="8"/>
      <c r="K23" s="28"/>
      <c r="L23" s="11" t="s">
        <v>45</v>
      </c>
      <c r="M23" s="11"/>
      <c r="N23" s="28"/>
      <c r="O23" s="11" t="s">
        <v>12</v>
      </c>
      <c r="P23" s="11"/>
      <c r="Q23" s="28"/>
      <c r="R23" s="11" t="s">
        <v>13</v>
      </c>
      <c r="S23" s="11"/>
      <c r="T23" s="28"/>
      <c r="U23" s="11" t="s">
        <v>14</v>
      </c>
      <c r="V23" s="11"/>
      <c r="W23" s="28"/>
      <c r="X23" s="11" t="s">
        <v>15</v>
      </c>
      <c r="Y23" s="11"/>
      <c r="Z23" s="28"/>
      <c r="AA23" s="11" t="s">
        <v>16</v>
      </c>
      <c r="AB23" s="11"/>
      <c r="AC23" s="28"/>
      <c r="AD23" s="11" t="s">
        <v>17</v>
      </c>
      <c r="AE23" s="11"/>
      <c r="AF23" s="28"/>
      <c r="AG23" s="11" t="s">
        <v>18</v>
      </c>
      <c r="AH23" s="11"/>
      <c r="AI23" s="28"/>
      <c r="AJ23" s="11" t="s">
        <v>19</v>
      </c>
      <c r="AK23" s="11"/>
      <c r="AL23" s="28"/>
      <c r="AM23" s="11" t="s">
        <v>20</v>
      </c>
      <c r="AN23" s="11"/>
      <c r="AO23" s="28"/>
      <c r="AP23" s="11" t="s">
        <v>21</v>
      </c>
      <c r="AQ23" s="11"/>
      <c r="AR23" s="28"/>
      <c r="AS23" s="11" t="s">
        <v>22</v>
      </c>
      <c r="AT23" s="11"/>
      <c r="AU23" s="28"/>
      <c r="AV23" s="11" t="s">
        <v>23</v>
      </c>
      <c r="AW23" s="11"/>
      <c r="AX23" s="28"/>
      <c r="AY23" s="11" t="s">
        <v>24</v>
      </c>
      <c r="AZ23" s="11"/>
      <c r="BA23" s="28"/>
      <c r="BB23" s="11" t="s">
        <v>25</v>
      </c>
      <c r="BC23" s="11"/>
      <c r="BD23" s="28"/>
      <c r="BE23" s="11" t="s">
        <v>26</v>
      </c>
      <c r="BF23" s="11"/>
      <c r="BG23" s="28"/>
      <c r="BH23" s="11" t="s">
        <v>27</v>
      </c>
      <c r="BI23" s="11"/>
      <c r="BJ23" s="28"/>
      <c r="BK23" s="11" t="s">
        <v>28</v>
      </c>
      <c r="BL23" s="11"/>
      <c r="BM23" s="28"/>
      <c r="BN23" s="11" t="s">
        <v>29</v>
      </c>
      <c r="BO23" s="11"/>
      <c r="BP23" s="28"/>
      <c r="BQ23" s="11" t="s">
        <v>30</v>
      </c>
      <c r="BR23" s="11"/>
      <c r="BS23" s="44"/>
      <c r="BT23" s="45" t="s">
        <v>31</v>
      </c>
      <c r="BU23" s="45"/>
      <c r="BV23" s="44"/>
      <c r="BW23" s="41"/>
      <c r="BX23" s="8"/>
      <c r="BY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</row>
    <row r="24" spans="1:255" s="40" customFormat="1" ht="15" x14ac:dyDescent="0.2">
      <c r="A24" s="83" t="s">
        <v>100</v>
      </c>
      <c r="B24" s="83" t="s">
        <v>53</v>
      </c>
      <c r="C24" s="83" t="s">
        <v>55</v>
      </c>
      <c r="D24" s="33" t="s">
        <v>54</v>
      </c>
      <c r="E24" s="34" t="s">
        <v>92</v>
      </c>
      <c r="F24" s="35" t="s">
        <v>0</v>
      </c>
      <c r="G24" s="36" t="s">
        <v>1</v>
      </c>
      <c r="H24" s="38" t="s">
        <v>7</v>
      </c>
      <c r="I24" s="37" t="s">
        <v>8</v>
      </c>
      <c r="J24" s="39" t="s">
        <v>9</v>
      </c>
      <c r="K24" s="26" t="s">
        <v>32</v>
      </c>
      <c r="L24" s="18" t="s">
        <v>33</v>
      </c>
      <c r="M24" s="18" t="s">
        <v>34</v>
      </c>
      <c r="N24" s="26" t="s">
        <v>35</v>
      </c>
      <c r="O24" s="18" t="s">
        <v>36</v>
      </c>
      <c r="P24" s="18" t="s">
        <v>37</v>
      </c>
      <c r="Q24" s="26" t="s">
        <v>35</v>
      </c>
      <c r="R24" s="18" t="s">
        <v>36</v>
      </c>
      <c r="S24" s="18" t="s">
        <v>37</v>
      </c>
      <c r="T24" s="26" t="s">
        <v>35</v>
      </c>
      <c r="U24" s="18" t="s">
        <v>36</v>
      </c>
      <c r="V24" s="18" t="s">
        <v>37</v>
      </c>
      <c r="W24" s="26" t="s">
        <v>35</v>
      </c>
      <c r="X24" s="18" t="s">
        <v>36</v>
      </c>
      <c r="Y24" s="18" t="s">
        <v>37</v>
      </c>
      <c r="Z24" s="26" t="s">
        <v>35</v>
      </c>
      <c r="AA24" s="18" t="s">
        <v>36</v>
      </c>
      <c r="AB24" s="18" t="s">
        <v>37</v>
      </c>
      <c r="AC24" s="26" t="s">
        <v>35</v>
      </c>
      <c r="AD24" s="18" t="s">
        <v>36</v>
      </c>
      <c r="AE24" s="18" t="s">
        <v>37</v>
      </c>
      <c r="AF24" s="26" t="s">
        <v>35</v>
      </c>
      <c r="AG24" s="18" t="s">
        <v>36</v>
      </c>
      <c r="AH24" s="18" t="s">
        <v>37</v>
      </c>
      <c r="AI24" s="26" t="s">
        <v>35</v>
      </c>
      <c r="AJ24" s="18" t="s">
        <v>36</v>
      </c>
      <c r="AK24" s="18" t="s">
        <v>37</v>
      </c>
      <c r="AL24" s="26" t="s">
        <v>35</v>
      </c>
      <c r="AM24" s="18" t="s">
        <v>36</v>
      </c>
      <c r="AN24" s="18" t="s">
        <v>37</v>
      </c>
      <c r="AO24" s="26" t="s">
        <v>35</v>
      </c>
      <c r="AP24" s="18" t="s">
        <v>36</v>
      </c>
      <c r="AQ24" s="18" t="s">
        <v>37</v>
      </c>
      <c r="AR24" s="26" t="s">
        <v>35</v>
      </c>
      <c r="AS24" s="18" t="s">
        <v>36</v>
      </c>
      <c r="AT24" s="18" t="s">
        <v>37</v>
      </c>
      <c r="AU24" s="26" t="s">
        <v>35</v>
      </c>
      <c r="AV24" s="18" t="s">
        <v>36</v>
      </c>
      <c r="AW24" s="18" t="s">
        <v>37</v>
      </c>
      <c r="AX24" s="26" t="s">
        <v>35</v>
      </c>
      <c r="AY24" s="18" t="s">
        <v>36</v>
      </c>
      <c r="AZ24" s="18" t="s">
        <v>37</v>
      </c>
      <c r="BA24" s="26" t="s">
        <v>35</v>
      </c>
      <c r="BB24" s="18" t="s">
        <v>36</v>
      </c>
      <c r="BC24" s="18" t="s">
        <v>37</v>
      </c>
      <c r="BD24" s="26" t="s">
        <v>35</v>
      </c>
      <c r="BE24" s="18" t="s">
        <v>36</v>
      </c>
      <c r="BF24" s="18" t="s">
        <v>37</v>
      </c>
      <c r="BG24" s="26" t="s">
        <v>35</v>
      </c>
      <c r="BH24" s="18" t="s">
        <v>36</v>
      </c>
      <c r="BI24" s="18" t="s">
        <v>37</v>
      </c>
      <c r="BJ24" s="26" t="s">
        <v>35</v>
      </c>
      <c r="BK24" s="18" t="s">
        <v>36</v>
      </c>
      <c r="BL24" s="18" t="s">
        <v>37</v>
      </c>
      <c r="BM24" s="26" t="s">
        <v>35</v>
      </c>
      <c r="BN24" s="18" t="s">
        <v>36</v>
      </c>
      <c r="BO24" s="18" t="s">
        <v>37</v>
      </c>
      <c r="BP24" s="26" t="s">
        <v>35</v>
      </c>
      <c r="BQ24" s="18" t="s">
        <v>36</v>
      </c>
      <c r="BR24" s="18" t="s">
        <v>37</v>
      </c>
      <c r="BS24" s="46" t="s">
        <v>35</v>
      </c>
      <c r="BT24" s="47" t="s">
        <v>36</v>
      </c>
      <c r="BU24" s="47" t="s">
        <v>37</v>
      </c>
      <c r="BV24" s="46"/>
      <c r="BW24" s="48"/>
      <c r="BX24" s="39"/>
      <c r="BY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  <c r="FU24" s="39"/>
      <c r="FV24" s="39"/>
      <c r="FW24" s="39"/>
      <c r="FX24" s="39"/>
      <c r="FY24" s="39"/>
      <c r="FZ24" s="39"/>
      <c r="GA24" s="39"/>
      <c r="GB24" s="39"/>
      <c r="GC24" s="39"/>
      <c r="GD24" s="39"/>
      <c r="GE24" s="39"/>
      <c r="GF24" s="39"/>
      <c r="GG24" s="39"/>
      <c r="GH24" s="39"/>
      <c r="GI24" s="39"/>
      <c r="GJ24" s="39"/>
      <c r="GK24" s="39"/>
      <c r="GL24" s="39"/>
      <c r="GM24" s="39"/>
      <c r="GN24" s="39"/>
      <c r="GO24" s="39"/>
      <c r="GP24" s="39"/>
      <c r="GQ24" s="39"/>
      <c r="GR24" s="39"/>
      <c r="GS24" s="39"/>
      <c r="GT24" s="39"/>
      <c r="GU24" s="39"/>
      <c r="GV24" s="39"/>
      <c r="GW24" s="39"/>
      <c r="GX24" s="39"/>
      <c r="GY24" s="39"/>
      <c r="GZ24" s="39"/>
      <c r="HA24" s="39"/>
      <c r="HB24" s="39"/>
      <c r="HC24" s="39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</row>
    <row r="25" spans="1:255" x14ac:dyDescent="0.15">
      <c r="A25" s="111">
        <v>1600</v>
      </c>
      <c r="B25" s="112">
        <v>12.220000000000004</v>
      </c>
      <c r="C25" s="111">
        <v>2</v>
      </c>
      <c r="D25" s="114">
        <f>INT(ROUND($B$17*0.25*B25*(A25/100000000)*($B$13/10000)*($B$14)/($B$14+1)*$B$15,0))</f>
        <v>26</v>
      </c>
      <c r="E25" s="113">
        <f>C25/D25</f>
        <v>7.6923076923076927E-2</v>
      </c>
      <c r="F25" s="110">
        <f>((1/0.000000000155125)*LN((0.000000000155125*E25*$B$12*$B$11*0.5)+1))/1000000</f>
        <v>19.799562587070188</v>
      </c>
      <c r="G25" s="110">
        <f>IF(C25=0,F25*SQRT((1/(0.5+C25))+(1/(0.5+D25))),F25*SQRT((1/C25)+(1/D25)))</f>
        <v>14.528906863626592</v>
      </c>
      <c r="H25" s="24">
        <f>($C$54*(C25+D25))/($C$54+$D$54)</f>
        <v>2.8333333333333335</v>
      </c>
      <c r="I25" s="24">
        <f>($D$54*(C25+D25))/($C$54+$D$54)</f>
        <v>25.166666666666668</v>
      </c>
      <c r="J25" s="24">
        <f>(((C25-H25)^2)/H25)+(((D25-I25)^2)/I25)</f>
        <v>0.27269185820023367</v>
      </c>
      <c r="K25" s="29">
        <f>C25+D25</f>
        <v>28</v>
      </c>
      <c r="L25" s="24">
        <f>C25/K25</f>
        <v>7.1428571428571425E-2</v>
      </c>
      <c r="M25" s="24">
        <f>LOG((C25+0.5)/(D25+0.5))</f>
        <v>-1.0253058652647702</v>
      </c>
      <c r="N25" s="25">
        <f t="shared" ref="N25:N48" si="0">K25/(($C$81*(1-$C$81))+((K25-1)*($C$81*$C$81)*((1-$C$81)*(1-$C$81))*($B$81*$B$81)))</f>
        <v>296.15463182066338</v>
      </c>
      <c r="O25" s="24">
        <f t="shared" ref="O25:O48" si="1">(N25^2)*((L25-$C$81)^2)</f>
        <v>77.688816210346431</v>
      </c>
      <c r="P25" s="24">
        <f t="shared" ref="P25:P31" si="2">N25*L25</f>
        <v>21.153902272904528</v>
      </c>
      <c r="Q25" s="25">
        <f>$K25/(($C$82*(1-$C$82))+(($K25-1)*($C$82*$C$82)*((1-$C$82)*(1-$C$82))*($B$82*$B$82)))</f>
        <v>297.95691148290484</v>
      </c>
      <c r="R25" s="24">
        <f t="shared" ref="R25:R48" si="3">(Q25^2)*((L25-$C$82)^2)</f>
        <v>79.394991493401122</v>
      </c>
      <c r="S25" s="24">
        <f t="shared" ref="S25:S48" si="4">Q25*$L25</f>
        <v>21.282636534493204</v>
      </c>
      <c r="T25" s="25">
        <f>$K25/(($C$83*(1-$C$83))+(($K25-1)*($C$83*$C$83)*((1-$C$83)*(1-$C$83))*($B$83*$B$83)))</f>
        <v>299.70503268585668</v>
      </c>
      <c r="U25" s="24">
        <f t="shared" ref="U25:U48" si="5">(T25^2)*((L25-$C$83)^2)</f>
        <v>80.205935138658504</v>
      </c>
      <c r="V25" s="24">
        <f t="shared" ref="V25:V48" si="6">T25*$L25</f>
        <v>21.407502334704049</v>
      </c>
      <c r="W25" s="25">
        <f>$K25/(($C$84*(1-$C$84))+(($K25-1)*($C$84*$C$84)*((1-$C$84)*(1-$C$84))*($B$84*$B$84)))</f>
        <v>301.07697488753939</v>
      </c>
      <c r="X25" s="24">
        <f t="shared" ref="X25:X48" si="7">(W25^2)*((L25-$C$84)^2)</f>
        <v>80.839416990304997</v>
      </c>
      <c r="Y25" s="24">
        <f t="shared" ref="Y25:Y48" si="8">W25*$L25</f>
        <v>21.505498206252813</v>
      </c>
      <c r="Z25" s="25">
        <f>$K25/(($C$85*(1-$C$85))+(($K25-1)*($C$85*$C$85)*((1-$C$85)*(1-$C$85))*($B$85*$B$85)))</f>
        <v>302.17250542504479</v>
      </c>
      <c r="AA25" s="24">
        <f t="shared" ref="AA25:AA48" si="9">(Z25^2)*((L25-$C$85)^2)</f>
        <v>81.344256004508836</v>
      </c>
      <c r="AB25" s="24">
        <f t="shared" ref="AB25:AB48" si="10">Z25*$L25</f>
        <v>21.583750387503198</v>
      </c>
      <c r="AC25" s="25">
        <f>$K25/(($C$86*(1-$C$86))+(($K25-1)*($C$86*$C$86)*((1-$C$86)*(1-$C$86))*($B$86*$B$86)))</f>
        <v>303.05995706089379</v>
      </c>
      <c r="AD25" s="24">
        <f t="shared" ref="AD25:AD48" si="11">(AC25^2)*((L25-$C$86)^2)</f>
        <v>81.752560632377893</v>
      </c>
      <c r="AE25" s="24">
        <f t="shared" ref="AE25:AE48" si="12">AC25*$L25</f>
        <v>21.647139790063843</v>
      </c>
      <c r="AF25" s="25">
        <f>$K25/(($C$87*(1-$C$87))+(($K25-1)*($C$87*$C$87)*((1-$C$87)*(1-$C$87))*($B$87*$B$87)))</f>
        <v>303.78730239522588</v>
      </c>
      <c r="AG25" s="24">
        <f t="shared" ref="AG25:AG48" si="13">(AF25^2)*((L25-$C$87)^2)</f>
        <v>82.086775108284186</v>
      </c>
      <c r="AH25" s="24">
        <f t="shared" ref="AH25:AH48" si="14">AF25*$L25</f>
        <v>21.699093028230418</v>
      </c>
      <c r="AI25" s="25">
        <f>$K25/(($C$88*(1-$C$88))+(($K25-1)*($C$88*$C$88)*((1-$C$88)*(1-$C$88))*($B$88*$B$88)))</f>
        <v>304.38918889837737</v>
      </c>
      <c r="AJ25" s="24">
        <f t="shared" ref="AJ25:AJ48" si="15">(AI25^2)*((L25-$C$88)^2)</f>
        <v>82.363053160854733</v>
      </c>
      <c r="AK25" s="24">
        <f t="shared" ref="AK25:AK48" si="16">AI25*$L25</f>
        <v>21.742084921312667</v>
      </c>
      <c r="AL25" s="25">
        <f>$K25/(($C$89*(1-$C$89))+(($K25-1)*($C$89*$C$89)*((1-$C$89)*(1-$C$89))*($B$89*$B$89)))</f>
        <v>304.89125156668496</v>
      </c>
      <c r="AM25" s="24">
        <f t="shared" ref="AM25:AM48" si="17">(AL25^2)*((L25-$C$89)^2)</f>
        <v>82.593312070231164</v>
      </c>
      <c r="AN25" s="24">
        <f t="shared" ref="AN25:AN48" si="18">AL25*$L25</f>
        <v>21.777946540477497</v>
      </c>
      <c r="AO25" s="25">
        <f>$K25/(($C$90*(1-$C$90))+(($K25-1)*($C$90*$C$90)*((1-$C$90)*(1-$C$90))*($B$90*$B$90)))</f>
        <v>305.31285436392341</v>
      </c>
      <c r="AP25" s="24">
        <f t="shared" ref="AP25:AP48" si="19">(AO25^2)*((L25-$C$90)^2)</f>
        <v>82.786531883629507</v>
      </c>
      <c r="AQ25" s="24">
        <f t="shared" ref="AQ25:AQ48" si="20">AO25*$L25</f>
        <v>21.80806102599453</v>
      </c>
      <c r="AR25" s="25">
        <f>$K25/(($C$91*(1-$C$91))+(($K25-1)*($C$91*$C$91)*((1-$C$91)*(1-$C$91))*($B$91*$B$91)))</f>
        <v>305.66888871841439</v>
      </c>
      <c r="AS25" s="24">
        <f t="shared" ref="AS25:AS48" si="21">(AR25^2)*((L25-$C$91)^2)</f>
        <v>82.94960418749011</v>
      </c>
      <c r="AT25" s="24">
        <f t="shared" ref="AT25:AT48" si="22">AR25*$L25</f>
        <v>21.833492051315314</v>
      </c>
      <c r="AU25" s="25">
        <f>$K25/(($C$92*(1-$C$92))+(($K25-1)*($C$92*$C$92)*((1-$C$92)*(1-$C$92))*($B$92*$B$92)))</f>
        <v>305.97098636001618</v>
      </c>
      <c r="AV25" s="24">
        <f t="shared" ref="AV25:AV48" si="23">(AU25^2)*((L25-$C$92)^2)</f>
        <v>83.08790244380333</v>
      </c>
      <c r="AW25" s="24">
        <f t="shared" ref="AW25:AW48" si="24">AU25*$L25</f>
        <v>21.855070454286871</v>
      </c>
      <c r="AX25" s="25">
        <f>$K25/(($C$93*(1-$C$93))+(($K25-1)*($C$93*$C$93)*((1-$C$93)*(1-$C$93))*($B$93*$B$93)))</f>
        <v>306.22835731302587</v>
      </c>
      <c r="AY25" s="24">
        <f t="shared" ref="AY25:AY48" si="25">(AX25^2)*((L25-$C$93)^2)</f>
        <v>83.205674841760825</v>
      </c>
      <c r="AZ25" s="24">
        <f t="shared" ref="AZ25:AZ48" si="26">AX25*$L25</f>
        <v>21.873454093787561</v>
      </c>
      <c r="BA25" s="25">
        <f>$K25/(($C$94*(1-$C$94))+(($K25-1)*($C$94*$C$94)*((1-$C$94)*(1-$C$94))*($B$94*$B$94)))</f>
        <v>306.44838153113761</v>
      </c>
      <c r="BB25" s="24">
        <f t="shared" ref="BB25:BB48" si="27">(BA25^2)*((L25-$C$94)^2)</f>
        <v>83.306320910713154</v>
      </c>
      <c r="BC25" s="24">
        <f t="shared" ref="BC25:BC48" si="28">BA25*$L25</f>
        <v>21.889170109366972</v>
      </c>
      <c r="BD25" s="25">
        <f>$K25/(($C$95*(1-$C$95))+(($K25-1)*($C$95*$C$95)*((1-$C$95)*(1-$C$95))*($B$95*$B$95)))</f>
        <v>306.63703475753749</v>
      </c>
      <c r="BE25" s="24">
        <f t="shared" ref="BE25:BE48" si="29">(BD25^2)*((L25-$C$95)^2)</f>
        <v>83.392590154970861</v>
      </c>
      <c r="BF25" s="24">
        <f t="shared" ref="BF25:BF48" si="30">BD25*$L25</f>
        <v>21.902645339824105</v>
      </c>
      <c r="BG25" s="25">
        <f>$K25/(($C$96*(1-$C$96))+(($K25-1)*($C$96*$C$96)*((1-$C$96)*(1-$C$96))*($B$96*$B$96)))</f>
        <v>306.79920045455702</v>
      </c>
      <c r="BH25" s="24">
        <f t="shared" ref="BH25:BH48" si="31">(BG25^2)*((L25-$C$96)^2)</f>
        <v>83.466727241464781</v>
      </c>
      <c r="BI25" s="24">
        <f t="shared" ref="BI25:BI48" si="32">BG25*$L25</f>
        <v>21.91422860389693</v>
      </c>
      <c r="BJ25" s="25">
        <f>$K25/(($C$97*(1-$C$97))+(($K25-1)*($C$97*$C$97)*((1-$C$97)*(1-$C$97))*($B$97*$B$97)))</f>
        <v>306.93890192824313</v>
      </c>
      <c r="BK25" s="24">
        <f t="shared" ref="BK25:BK48" si="33">(BJ25^2)*((L25-$C$97)^2)</f>
        <v>83.530579838547837</v>
      </c>
      <c r="BL25" s="24">
        <f t="shared" ref="BL25:BL48" si="34">BJ25*$L25</f>
        <v>21.924207280588792</v>
      </c>
      <c r="BM25" s="25">
        <f>$K25/(($C$98*(1-$C$98))+(($K25-1)*($C$98*$C$98)*((1-$C$98)*(1-$C$98))*($B$98*$B$98)))</f>
        <v>307.05947757702614</v>
      </c>
      <c r="BN25" s="24">
        <f t="shared" ref="BN25:BN48" si="35">(BM25^2)*((L25-$C$98)^2)</f>
        <v>83.585679893627997</v>
      </c>
      <c r="BO25" s="24">
        <f t="shared" ref="BO25:BO48" si="36">BM25*$L25</f>
        <v>21.932819826930437</v>
      </c>
      <c r="BP25" s="25">
        <f>$K25/(($C$99*(1-$C$99))+(($K25-1)*($C$99*$C$99)*((1-$C$99)*(1-$C$99))*($B$99*$B$99)))</f>
        <v>307.16371496071099</v>
      </c>
      <c r="BQ25" s="24">
        <f t="shared" ref="BQ25:BQ48" si="37">(BP25^2)*((L25-$C$99)^2)</f>
        <v>83.633305716803363</v>
      </c>
      <c r="BR25" s="24">
        <f t="shared" ref="BR25:BR48" si="38">BP25*$L25</f>
        <v>21.9402653543365</v>
      </c>
      <c r="BS25" s="49">
        <f>$K25/(($C$100*(1-$C$100))+(($K25-1)*($C$100*$C$100)*((1-$C$100)*(1-$C$100))*($B$100*$B$100)))</f>
        <v>307.2505548947716</v>
      </c>
      <c r="BT25" s="50">
        <f t="shared" ref="BT25:BT48" si="39">(BS25^2)*((L25-$C$100)^2)</f>
        <v>83.680601260126167</v>
      </c>
      <c r="BU25" s="50">
        <f t="shared" ref="BU25:BU48" si="40">BS25*$L25</f>
        <v>21.946468206769399</v>
      </c>
      <c r="BV25" s="49"/>
      <c r="BW25" s="50">
        <f t="shared" ref="BW25:BW48" si="41">F25/G25</f>
        <v>1.3627702877384937</v>
      </c>
      <c r="BX25" s="24"/>
      <c r="BY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</row>
    <row r="26" spans="1:255" x14ac:dyDescent="0.15">
      <c r="A26" s="111">
        <v>900</v>
      </c>
      <c r="B26" s="112">
        <v>3.7600000000000002</v>
      </c>
      <c r="C26" s="111">
        <v>2</v>
      </c>
      <c r="D26" s="114">
        <f t="shared" ref="D26:D48" si="42">INT(ROUND($B$17*0.25*B26*(A26/100000000)*($B$13/10000)*($B$14)/($B$14+1)*$B$15,0))</f>
        <v>5</v>
      </c>
      <c r="E26" s="113">
        <f t="shared" ref="E26:E48" si="43">C26/D26</f>
        <v>0.4</v>
      </c>
      <c r="F26" s="110">
        <f t="shared" ref="F26:F48" si="44">((1/0.000000000155125)*LN((0.000000000155125*E26*$B$12*$B$11*0.5)+1))/1000000</f>
        <v>102.29997547313619</v>
      </c>
      <c r="G26" s="110">
        <f>IF(C26=0,F26*SQRT((1/(0.5+C26))+(1/(0.5+D26))),F26*SQRT((1/C26)+(1/D26)))</f>
        <v>85.590300193789403</v>
      </c>
      <c r="H26" s="24">
        <f>($C$54*(C26+D26))/($C$54+$D$54)</f>
        <v>0.70833333333333337</v>
      </c>
      <c r="I26" s="24">
        <f>($D$54*(C26+D26))/($C$54+$D$54)</f>
        <v>6.291666666666667</v>
      </c>
      <c r="J26" s="24">
        <f>(((C26-H26)^2)/H26)+(((D26-I26)^2)/I26)</f>
        <v>2.620568757304246</v>
      </c>
      <c r="K26" s="29">
        <f>C26+D26</f>
        <v>7</v>
      </c>
      <c r="L26" s="24">
        <f>C26/K26</f>
        <v>0.2857142857142857</v>
      </c>
      <c r="M26" s="24">
        <f>LOG((C26+0.5)/(D26+0.5))</f>
        <v>-0.34242268082220623</v>
      </c>
      <c r="N26" s="25">
        <f t="shared" si="0"/>
        <v>76.294540930778865</v>
      </c>
      <c r="O26" s="24">
        <f t="shared" si="1"/>
        <v>198.19457035787266</v>
      </c>
      <c r="P26" s="24">
        <f t="shared" si="2"/>
        <v>21.798440265936819</v>
      </c>
      <c r="Q26" s="25">
        <f>$K26/(($C$82*(1-$C$82))+(($K26-1)*($C$82*$C$82)*((1-$C$82)*(1-$C$82))*($B$82*$B$82)))</f>
        <v>76.326452508506165</v>
      </c>
      <c r="R26" s="24">
        <f t="shared" si="3"/>
        <v>198.05297681531721</v>
      </c>
      <c r="S26" s="24">
        <f t="shared" si="4"/>
        <v>21.80755785957319</v>
      </c>
      <c r="T26" s="25">
        <f>$K26/(($C$83*(1-$C$83))+(($K26-1)*($C$83*$C$83)*((1-$C$83)*(1-$C$83))*($B$83*$B$83)))</f>
        <v>76.439854876603107</v>
      </c>
      <c r="U26" s="24">
        <f t="shared" si="5"/>
        <v>198.6914505753314</v>
      </c>
      <c r="V26" s="24">
        <f t="shared" si="6"/>
        <v>21.839958536172315</v>
      </c>
      <c r="W26" s="25">
        <f>$K26/(($C$84*(1-$C$84))+(($K26-1)*($C$84*$C$84)*((1-$C$84)*(1-$C$84))*($B$84*$B$84)))</f>
        <v>76.528724831540359</v>
      </c>
      <c r="X26" s="24">
        <f t="shared" si="7"/>
        <v>199.19460690246422</v>
      </c>
      <c r="Y26" s="24">
        <f t="shared" si="8"/>
        <v>21.865349951868673</v>
      </c>
      <c r="Z26" s="25">
        <f>$K26/(($C$85*(1-$C$85))+(($K26-1)*($C$85*$C$85)*((1-$C$85)*(1-$C$85))*($B$85*$B$85)))</f>
        <v>76.59952458116399</v>
      </c>
      <c r="AA26" s="24">
        <f t="shared" si="9"/>
        <v>199.59689976050308</v>
      </c>
      <c r="AB26" s="24">
        <f t="shared" si="10"/>
        <v>21.885578451761138</v>
      </c>
      <c r="AC26" s="25">
        <f>$K26/(($C$86*(1-$C$86))+(($K26-1)*($C$86*$C$86)*((1-$C$86)*(1-$C$86))*($B$86*$B$86)))</f>
        <v>76.656768221011262</v>
      </c>
      <c r="AD26" s="24">
        <f t="shared" si="11"/>
        <v>199.92309280603195</v>
      </c>
      <c r="AE26" s="24">
        <f t="shared" si="12"/>
        <v>21.90193377743179</v>
      </c>
      <c r="AF26" s="25">
        <f>$K26/(($C$87*(1-$C$87))+(($K26-1)*($C$87*$C$87)*((1-$C$87)*(1-$C$87))*($B$87*$B$87)))</f>
        <v>76.703611238608488</v>
      </c>
      <c r="AG26" s="24">
        <f t="shared" si="13"/>
        <v>200.19063220752614</v>
      </c>
      <c r="AH26" s="24">
        <f t="shared" si="14"/>
        <v>21.915317496745281</v>
      </c>
      <c r="AI26" s="25">
        <f>$K26/(($C$88*(1-$C$88))+(($K26-1)*($C$88*$C$88)*((1-$C$88)*(1-$C$88))*($B$88*$B$88)))</f>
        <v>76.742324157696402</v>
      </c>
      <c r="AJ26" s="24">
        <f t="shared" si="15"/>
        <v>200.41215091203861</v>
      </c>
      <c r="AK26" s="24">
        <f t="shared" si="16"/>
        <v>21.926378330770401</v>
      </c>
      <c r="AL26" s="25">
        <f>$K26/(($C$89*(1-$C$89))+(($K26-1)*($C$89*$C$89)*((1-$C$89)*(1-$C$89))*($B$89*$B$89)))</f>
        <v>76.774581507723028</v>
      </c>
      <c r="AM26" s="24">
        <f t="shared" si="17"/>
        <v>200.59701473696705</v>
      </c>
      <c r="AN26" s="24">
        <f t="shared" si="18"/>
        <v>21.935594716492293</v>
      </c>
      <c r="AO26" s="25">
        <f>$K26/(($C$90*(1-$C$90))+(($K26-1)*($C$90*$C$90)*((1-$C$90)*(1-$C$90))*($B$90*$B$90)))</f>
        <v>76.801644661637809</v>
      </c>
      <c r="AP26" s="24">
        <f t="shared" si="19"/>
        <v>200.75230977056702</v>
      </c>
      <c r="AQ26" s="24">
        <f t="shared" si="20"/>
        <v>21.94332704618223</v>
      </c>
      <c r="AR26" s="25">
        <f>$K26/(($C$91*(1-$C$91))+(($K26-1)*($C$91*$C$91)*((1-$C$91)*(1-$C$91))*($B$91*$B$91)))</f>
        <v>76.824481295517856</v>
      </c>
      <c r="AS26" s="24">
        <f t="shared" si="21"/>
        <v>200.88349251961731</v>
      </c>
      <c r="AT26" s="24">
        <f t="shared" si="22"/>
        <v>21.949851798719386</v>
      </c>
      <c r="AU26" s="25">
        <f>$K26/(($C$92*(1-$C$92))+(($K26-1)*($C$92*$C$92)*((1-$C$92)*(1-$C$92))*($B$92*$B$92)))</f>
        <v>76.843845656235843</v>
      </c>
      <c r="AV26" s="24">
        <f t="shared" si="23"/>
        <v>200.99482962982773</v>
      </c>
      <c r="AW26" s="24">
        <f t="shared" si="24"/>
        <v>21.955384473210241</v>
      </c>
      <c r="AX26" s="25">
        <f>$K26/(($C$93*(1-$C$93))+(($K26-1)*($C$93*$C$93)*((1-$C$93)*(1-$C$93))*($B$93*$B$93)))</f>
        <v>76.860333842220911</v>
      </c>
      <c r="AY26" s="24">
        <f t="shared" si="25"/>
        <v>201.08970243074046</v>
      </c>
      <c r="AZ26" s="24">
        <f t="shared" si="26"/>
        <v>21.960095383491687</v>
      </c>
      <c r="BA26" s="25">
        <f>$K26/(($C$94*(1-$C$94))+(($K26-1)*($C$94*$C$94)*((1-$C$94)*(1-$C$94))*($B$94*$B$94)))</f>
        <v>76.874422719149692</v>
      </c>
      <c r="BB26" s="24">
        <f t="shared" si="27"/>
        <v>201.17082237404117</v>
      </c>
      <c r="BC26" s="24">
        <f t="shared" si="28"/>
        <v>21.964120776899911</v>
      </c>
      <c r="BD26" s="25">
        <f>$K26/(($C$95*(1-$C$95))+(($K26-1)*($C$95*$C$95)*((1-$C$95)*(1-$C$95))*($B$95*$B$95)))</f>
        <v>76.886497857950175</v>
      </c>
      <c r="BE26" s="24">
        <f t="shared" si="29"/>
        <v>201.24038636373115</v>
      </c>
      <c r="BF26" s="24">
        <f t="shared" si="30"/>
        <v>21.967570816557192</v>
      </c>
      <c r="BG26" s="25">
        <f>$K26/(($C$96*(1-$C$96))+(($K26-1)*($C$96*$C$96)*((1-$C$96)*(1-$C$96))*($B$96*$B$96)))</f>
        <v>76.896873949625174</v>
      </c>
      <c r="BH26" s="24">
        <f t="shared" si="31"/>
        <v>201.30019069095204</v>
      </c>
      <c r="BI26" s="24">
        <f t="shared" si="32"/>
        <v>21.97053541417862</v>
      </c>
      <c r="BJ26" s="25">
        <f>$K26/(($C$97*(1-$C$97))+(($K26-1)*($C$97*$C$97)*((1-$C$97)*(1-$C$97))*($B$97*$B$97)))</f>
        <v>76.905809963874589</v>
      </c>
      <c r="BK26" s="24">
        <f t="shared" si="33"/>
        <v>201.3517159217003</v>
      </c>
      <c r="BL26" s="24">
        <f t="shared" si="34"/>
        <v>21.973088561107023</v>
      </c>
      <c r="BM26" s="25">
        <f>$K26/(($C$98*(1-$C$98))+(($K26-1)*($C$98*$C$98)*((1-$C$98)*(1-$C$98))*($B$98*$B$98)))</f>
        <v>76.913520570541195</v>
      </c>
      <c r="BN26" s="24">
        <f t="shared" si="35"/>
        <v>201.39619105203883</v>
      </c>
      <c r="BO26" s="24">
        <f t="shared" si="36"/>
        <v>21.975291591583197</v>
      </c>
      <c r="BP26" s="25">
        <f>$K26/(($C$99*(1-$C$99))+(($K26-1)*($C$99*$C$99)*((1-$C$99)*(1-$C$99))*($B$99*$B$99)))</f>
        <v>76.920184861118543</v>
      </c>
      <c r="BQ26" s="24">
        <f t="shared" si="37"/>
        <v>201.43464263292938</v>
      </c>
      <c r="BR26" s="24">
        <f t="shared" si="38"/>
        <v>21.977195674605298</v>
      </c>
      <c r="BS26" s="49">
        <f>$K26/(($C$100*(1-$C$100))+(($K26-1)*($C$100*$C$100)*((1-$C$100)*(1-$C$100))*($B$100*$B$100)))</f>
        <v>76.925024493096714</v>
      </c>
      <c r="BT26" s="50">
        <f t="shared" si="39"/>
        <v>201.4599909913083</v>
      </c>
      <c r="BU26" s="50">
        <f t="shared" si="40"/>
        <v>21.978578426599061</v>
      </c>
      <c r="BV26" s="49"/>
      <c r="BW26" s="50">
        <f t="shared" si="41"/>
        <v>1.1952286093343936</v>
      </c>
      <c r="BX26" s="24"/>
      <c r="BY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</row>
    <row r="27" spans="1:255" x14ac:dyDescent="0.15">
      <c r="A27" s="111">
        <v>1200</v>
      </c>
      <c r="B27" s="112">
        <v>12.700000000000001</v>
      </c>
      <c r="C27" s="111">
        <v>3</v>
      </c>
      <c r="D27" s="114">
        <f t="shared" si="42"/>
        <v>20</v>
      </c>
      <c r="E27" s="113">
        <f t="shared" si="43"/>
        <v>0.15</v>
      </c>
      <c r="F27" s="110">
        <f t="shared" si="44"/>
        <v>38.552986153475693</v>
      </c>
      <c r="G27" s="110">
        <f>IF(C27=0,F27*SQRT((1/(0.5+C27))+(1/(0.5+D27))),F27*SQRT((1/C27)+(1/D27)))</f>
        <v>23.869664517629914</v>
      </c>
      <c r="H27" s="24">
        <f>($C$54*(C27+D27))/($C$54+$D$54)</f>
        <v>2.3273809523809526</v>
      </c>
      <c r="I27" s="24">
        <f>($D$54*(C27+D27))/($C$54+$D$54)</f>
        <v>20.672619047619047</v>
      </c>
      <c r="J27" s="24">
        <f>(((C27-H27)^2)/H27)+(((D27-I27)^2)/I27)</f>
        <v>0.21627343710302996</v>
      </c>
      <c r="K27" s="29">
        <f>C27+D27</f>
        <v>23</v>
      </c>
      <c r="L27" s="24">
        <f>C27/K27</f>
        <v>0.13043478260869565</v>
      </c>
      <c r="M27" s="24">
        <f>LOG((C27+0.5)/(D27+0.5))</f>
        <v>-0.76768581670547864</v>
      </c>
      <c r="N27" s="25">
        <f t="shared" si="0"/>
        <v>244.99464300441102</v>
      </c>
      <c r="O27" s="24">
        <f t="shared" si="1"/>
        <v>51.332903318340243</v>
      </c>
      <c r="P27" s="24">
        <f t="shared" si="2"/>
        <v>31.95582300057535</v>
      </c>
      <c r="Q27" s="25">
        <f>$K27/(($C$82*(1-$C$82))+(($K27-1)*($C$82*$C$82)*((1-$C$82)*(1-$C$82))*($B$82*$B$82)))</f>
        <v>246.16109368623111</v>
      </c>
      <c r="R27" s="24">
        <f t="shared" si="3"/>
        <v>51.317138187971544</v>
      </c>
      <c r="S27" s="24">
        <f t="shared" si="4"/>
        <v>32.107968741682321</v>
      </c>
      <c r="T27" s="25">
        <f>$K27/(($C$83*(1-$C$83))+(($K27-1)*($C$83*$C$83)*((1-$C$83)*(1-$C$83))*($B$83*$B$83)))</f>
        <v>247.35243437217142</v>
      </c>
      <c r="U27" s="24">
        <f t="shared" si="5"/>
        <v>51.89692567962615</v>
      </c>
      <c r="V27" s="24">
        <f t="shared" si="6"/>
        <v>32.263361005065839</v>
      </c>
      <c r="W27" s="25">
        <f>$K27/(($C$84*(1-$C$84))+(($K27-1)*($C$84*$C$84)*((1-$C$84)*(1-$C$84))*($B$84*$B$84)))</f>
        <v>248.28613419729356</v>
      </c>
      <c r="X27" s="24">
        <f t="shared" si="7"/>
        <v>52.357450776349708</v>
      </c>
      <c r="Y27" s="24">
        <f t="shared" si="8"/>
        <v>32.385147938777422</v>
      </c>
      <c r="Z27" s="25">
        <f>$K27/(($C$85*(1-$C$85))+(($K27-1)*($C$85*$C$85)*((1-$C$85)*(1-$C$85))*($B$85*$B$85)))</f>
        <v>249.03085102086922</v>
      </c>
      <c r="AA27" s="24">
        <f t="shared" si="9"/>
        <v>52.728066904062089</v>
      </c>
      <c r="AB27" s="24">
        <f t="shared" si="10"/>
        <v>32.482284915765547</v>
      </c>
      <c r="AC27" s="25">
        <f>$K27/(($C$86*(1-$C$86))+(($K27-1)*($C$86*$C$86)*((1-$C$86)*(1-$C$86))*($B$86*$B$86)))</f>
        <v>249.63355696060054</v>
      </c>
      <c r="AD27" s="24">
        <f t="shared" si="11"/>
        <v>53.030151186401561</v>
      </c>
      <c r="AE27" s="24">
        <f t="shared" si="12"/>
        <v>32.560898733991372</v>
      </c>
      <c r="AF27" s="25">
        <f>$K27/(($C$87*(1-$C$87))+(($K27-1)*($C$87*$C$87)*((1-$C$87)*(1-$C$87))*($B$87*$B$87)))</f>
        <v>250.12715200875311</v>
      </c>
      <c r="AG27" s="24">
        <f t="shared" si="13"/>
        <v>53.278972698808921</v>
      </c>
      <c r="AH27" s="24">
        <f t="shared" si="14"/>
        <v>32.625280696793887</v>
      </c>
      <c r="AI27" s="25">
        <f>$K27/(($C$88*(1-$C$88))+(($K27-1)*($C$88*$C$88)*((1-$C$88)*(1-$C$88))*($B$88*$B$88)))</f>
        <v>250.53535153857817</v>
      </c>
      <c r="AJ27" s="24">
        <f t="shared" si="15"/>
        <v>53.485714712107537</v>
      </c>
      <c r="AK27" s="24">
        <f t="shared" si="16"/>
        <v>32.678524113727583</v>
      </c>
      <c r="AL27" s="25">
        <f>$K27/(($C$89*(1-$C$89))+(($K27-1)*($C$89*$C$89)*((1-$C$89)*(1-$C$89))*($B$89*$B$89)))</f>
        <v>250.87567326369467</v>
      </c>
      <c r="AM27" s="24">
        <f t="shared" si="17"/>
        <v>53.658748039732224</v>
      </c>
      <c r="AN27" s="24">
        <f t="shared" si="18"/>
        <v>32.722913903960176</v>
      </c>
      <c r="AO27" s="25">
        <f>$K27/(($C$90*(1-$C$90))+(($K27-1)*($C$90*$C$90)*((1-$C$90)*(1-$C$90))*($B$90*$B$90)))</f>
        <v>251.16133098886289</v>
      </c>
      <c r="AP27" s="24">
        <f t="shared" si="19"/>
        <v>53.804457662923305</v>
      </c>
      <c r="AQ27" s="24">
        <f t="shared" si="20"/>
        <v>32.760173607242983</v>
      </c>
      <c r="AR27" s="25">
        <f>$K27/(($C$91*(1-$C$91))+(($K27-1)*($C$91*$C$91)*((1-$C$91)*(1-$C$91))*($B$91*$B$91)))</f>
        <v>251.4024741981757</v>
      </c>
      <c r="AS27" s="24">
        <f t="shared" si="21"/>
        <v>53.927794585596182</v>
      </c>
      <c r="AT27" s="24">
        <f t="shared" si="22"/>
        <v>32.791627069327262</v>
      </c>
      <c r="AU27" s="25">
        <f>$K27/(($C$92*(1-$C$92))+(($K27-1)*($C$92*$C$92)*((1-$C$92)*(1-$C$92))*($B$92*$B$92)))</f>
        <v>251.60702235859108</v>
      </c>
      <c r="AV27" s="24">
        <f t="shared" si="23"/>
        <v>54.032653519536552</v>
      </c>
      <c r="AW27" s="24">
        <f t="shared" si="24"/>
        <v>32.818307264164055</v>
      </c>
      <c r="AX27" s="25">
        <f>$K27/(($C$93*(1-$C$93))+(($K27-1)*($C$93*$C$93)*((1-$C$93)*(1-$C$93))*($B$93*$B$93)))</f>
        <v>251.78124038715586</v>
      </c>
      <c r="AY27" s="24">
        <f t="shared" si="25"/>
        <v>54.122137166254461</v>
      </c>
      <c r="AZ27" s="24">
        <f t="shared" si="26"/>
        <v>32.841031354846415</v>
      </c>
      <c r="BA27" s="25">
        <f>$K27/(($C$94*(1-$C$94))+(($K27-1)*($C$94*$C$94)*((1-$C$94)*(1-$C$94))*($B$94*$B$94)))</f>
        <v>251.93014432583826</v>
      </c>
      <c r="BB27" s="24">
        <f t="shared" si="27"/>
        <v>54.198744866735353</v>
      </c>
      <c r="BC27" s="24">
        <f t="shared" si="28"/>
        <v>32.860453607718036</v>
      </c>
      <c r="BD27" s="25">
        <f>$K27/(($C$95*(1-$C$95))+(($K27-1)*($C$95*$C$95)*((1-$C$95)*(1-$C$95))*($B$95*$B$95)))</f>
        <v>252.0577929537811</v>
      </c>
      <c r="BE27" s="24">
        <f t="shared" si="29"/>
        <v>54.264509708780558</v>
      </c>
      <c r="BF27" s="24">
        <f t="shared" si="30"/>
        <v>32.877103428754054</v>
      </c>
      <c r="BG27" s="25">
        <f>$K27/(($C$96*(1-$C$96))+(($K27-1)*($C$96*$C$96)*((1-$C$96)*(1-$C$96))*($B$96*$B$96)))</f>
        <v>252.16750112578268</v>
      </c>
      <c r="BH27" s="24">
        <f t="shared" si="31"/>
        <v>54.3210998162631</v>
      </c>
      <c r="BI27" s="24">
        <f t="shared" si="32"/>
        <v>32.891413190319476</v>
      </c>
      <c r="BJ27" s="25">
        <f>$K27/(($C$97*(1-$C$97))+(($K27-1)*($C$97*$C$97)*((1-$C$97)*(1-$C$97))*($B$97*$B$97)))</f>
        <v>252.2619983556215</v>
      </c>
      <c r="BK27" s="24">
        <f t="shared" si="33"/>
        <v>54.369894301782381</v>
      </c>
      <c r="BL27" s="24">
        <f t="shared" si="34"/>
        <v>32.903738915950626</v>
      </c>
      <c r="BM27" s="25">
        <f>$K27/(($C$98*(1-$C$98))+(($K27-1)*($C$98*$C$98)*((1-$C$98)*(1-$C$98))*($B$98*$B$98)))</f>
        <v>252.34354842347537</v>
      </c>
      <c r="BN27" s="24">
        <f t="shared" si="35"/>
        <v>54.412041003923839</v>
      </c>
      <c r="BO27" s="24">
        <f t="shared" si="36"/>
        <v>32.914375881322876</v>
      </c>
      <c r="BP27" s="25">
        <f>$K27/(($C$99*(1-$C$99))+(($K27-1)*($C$99*$C$99)*((1-$C$99)*(1-$C$99))*($B$99*$B$99)))</f>
        <v>252.41404079488319</v>
      </c>
      <c r="BQ27" s="24">
        <f t="shared" si="37"/>
        <v>54.448500932171711</v>
      </c>
      <c r="BR27" s="24">
        <f t="shared" si="38"/>
        <v>32.923570538463025</v>
      </c>
      <c r="BS27" s="49">
        <f>$K27/(($C$100*(1-$C$100))+(($K27-1)*($C$100*$C$100)*((1-$C$100)*(1-$C$100))*($B$100*$B$100)))</f>
        <v>252.47220731682063</v>
      </c>
      <c r="BT27" s="50">
        <f t="shared" si="39"/>
        <v>54.473598148050435</v>
      </c>
      <c r="BU27" s="50">
        <f t="shared" si="40"/>
        <v>32.931157476107039</v>
      </c>
      <c r="BV27" s="49"/>
      <c r="BW27" s="50">
        <f t="shared" si="41"/>
        <v>1.6151457061744967</v>
      </c>
      <c r="BX27" s="24"/>
      <c r="BY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</row>
    <row r="28" spans="1:255" x14ac:dyDescent="0.15">
      <c r="A28" s="111">
        <v>3200</v>
      </c>
      <c r="B28" s="112">
        <v>10.949999999999998</v>
      </c>
      <c r="C28" s="111">
        <v>7</v>
      </c>
      <c r="D28" s="114">
        <f t="shared" si="42"/>
        <v>47</v>
      </c>
      <c r="E28" s="113">
        <f t="shared" si="43"/>
        <v>0.14893617021276595</v>
      </c>
      <c r="F28" s="110">
        <f t="shared" si="44"/>
        <v>38.28037094275809</v>
      </c>
      <c r="G28" s="110">
        <f>IF(C28=0,F28*SQRT((1/(0.5+C28))+(1/(0.5+D28))),F28*SQRT((1/C28)+(1/D28)))</f>
        <v>15.508688335967809</v>
      </c>
      <c r="H28" s="24">
        <f>($C$54*(C28+D28))/($C$54+$D$54)</f>
        <v>5.4642857142857144</v>
      </c>
      <c r="I28" s="24">
        <f>($D$54*(C28+D28))/($C$54+$D$54)</f>
        <v>48.535714285714285</v>
      </c>
      <c r="J28" s="24">
        <f>(((C28-H28)^2)/H28)+(((D28-I28)^2)/I28)</f>
        <v>0.48019737696403053</v>
      </c>
      <c r="K28" s="29">
        <f>C28+D28</f>
        <v>54</v>
      </c>
      <c r="L28" s="24">
        <f>C28/K28</f>
        <v>0.12962962962962962</v>
      </c>
      <c r="M28" s="24">
        <f>LOG((C28+0.5)/(D28+0.5))</f>
        <v>-0.80163234623316659</v>
      </c>
      <c r="N28" s="25">
        <f t="shared" si="0"/>
        <v>550.98485427056721</v>
      </c>
      <c r="O28" s="24">
        <f t="shared" si="1"/>
        <v>245.53457197628265</v>
      </c>
      <c r="P28" s="24">
        <f t="shared" si="2"/>
        <v>71.423962590629074</v>
      </c>
      <c r="Q28" s="25">
        <f>$K28/(($C$82*(1-$C$82))+(($K28-1)*($C$82*$C$82)*((1-$C$82)*(1-$C$82))*($B$82*$B$82)))</f>
        <v>558.00177729377822</v>
      </c>
      <c r="R28" s="24">
        <f t="shared" si="3"/>
        <v>249.30131019402222</v>
      </c>
      <c r="S28" s="24">
        <f t="shared" si="4"/>
        <v>72.333563723267545</v>
      </c>
      <c r="T28" s="25">
        <f>$K28/(($C$83*(1-$C$83))+(($K28-1)*($C$83*$C$83)*((1-$C$83)*(1-$C$83))*($B$83*$B$83)))</f>
        <v>564.17150137799388</v>
      </c>
      <c r="U28" s="24">
        <f t="shared" si="5"/>
        <v>255.25886710293878</v>
      </c>
      <c r="V28" s="24">
        <f t="shared" si="6"/>
        <v>73.133342771221422</v>
      </c>
      <c r="W28" s="25">
        <f>$K28/(($C$84*(1-$C$84))+(($K28-1)*($C$84*$C$84)*((1-$C$84)*(1-$C$84))*($B$84*$B$84)))</f>
        <v>569.05335885566058</v>
      </c>
      <c r="X28" s="24">
        <f t="shared" si="7"/>
        <v>260.04282530346904</v>
      </c>
      <c r="Y28" s="24">
        <f t="shared" si="8"/>
        <v>73.766176147956003</v>
      </c>
      <c r="Z28" s="25">
        <f>$K28/(($C$85*(1-$C$85))+(($K28-1)*($C$85*$C$85)*((1-$C$85)*(1-$C$85))*($B$85*$B$85)))</f>
        <v>572.97777910982791</v>
      </c>
      <c r="AA28" s="24">
        <f t="shared" si="9"/>
        <v>263.93048754812833</v>
      </c>
      <c r="AB28" s="24">
        <f t="shared" si="10"/>
        <v>74.274897292014728</v>
      </c>
      <c r="AC28" s="25">
        <f>$K28/(($C$86*(1-$C$86))+(($K28-1)*($C$86*$C$86)*((1-$C$86)*(1-$C$86))*($B$86*$B$86)))</f>
        <v>576.17399116944807</v>
      </c>
      <c r="AD28" s="24">
        <f t="shared" si="11"/>
        <v>267.12437544615193</v>
      </c>
      <c r="AE28" s="24">
        <f t="shared" si="12"/>
        <v>74.68922107752104</v>
      </c>
      <c r="AF28" s="25">
        <f>$K28/(($C$87*(1-$C$87))+(($K28-1)*($C$87*$C$87)*((1-$C$87)*(1-$C$87))*($B$87*$B$87)))</f>
        <v>578.8051198295924</v>
      </c>
      <c r="AG28" s="24">
        <f t="shared" si="13"/>
        <v>269.77219204960807</v>
      </c>
      <c r="AH28" s="24">
        <f t="shared" si="14"/>
        <v>75.030293311243454</v>
      </c>
      <c r="AI28" s="25">
        <f>$K28/(($C$88*(1-$C$88))+(($K28-1)*($C$88*$C$88)*((1-$C$88)*(1-$C$88))*($B$88*$B$88)))</f>
        <v>580.99032473133286</v>
      </c>
      <c r="AJ28" s="24">
        <f t="shared" si="15"/>
        <v>271.98402415051982</v>
      </c>
      <c r="AK28" s="24">
        <f t="shared" si="16"/>
        <v>75.313560613320917</v>
      </c>
      <c r="AL28" s="25">
        <f>$K28/(($C$89*(1-$C$89))+(($K28-1)*($C$89*$C$89)*((1-$C$89)*(1-$C$89))*($B$89*$B$89)))</f>
        <v>582.81862229741967</v>
      </c>
      <c r="AM28" s="24">
        <f t="shared" si="17"/>
        <v>273.84350097251058</v>
      </c>
      <c r="AN28" s="24">
        <f t="shared" si="18"/>
        <v>75.55056214966551</v>
      </c>
      <c r="AO28" s="25">
        <f>$K28/(($C$90*(1-$C$90))+(($K28-1)*($C$90*$C$90)*((1-$C$90)*(1-$C$90))*($B$90*$B$90)))</f>
        <v>584.3578091043496</v>
      </c>
      <c r="AP28" s="24">
        <f t="shared" si="19"/>
        <v>275.41522362737811</v>
      </c>
      <c r="AQ28" s="24">
        <f t="shared" si="20"/>
        <v>75.75008636537865</v>
      </c>
      <c r="AR28" s="25">
        <f>$K28/(($C$91*(1-$C$91))+(($K28-1)*($C$91*$C$91)*((1-$C$91)*(1-$C$91))*($B$91*$B$91)))</f>
        <v>585.66039418927778</v>
      </c>
      <c r="AS28" s="24">
        <f t="shared" si="21"/>
        <v>276.74983293106266</v>
      </c>
      <c r="AT28" s="24">
        <f t="shared" si="22"/>
        <v>75.918939987498973</v>
      </c>
      <c r="AU28" s="25">
        <f>$K28/(($C$92*(1-$C$92))+(($K28-1)*($C$92*$C$92)*((1-$C$92)*(1-$C$92))*($B$92*$B$92)))</f>
        <v>586.76764590880305</v>
      </c>
      <c r="AV28" s="24">
        <f t="shared" si="23"/>
        <v>277.88754281778637</v>
      </c>
      <c r="AW28" s="24">
        <f t="shared" si="24"/>
        <v>76.062472617807799</v>
      </c>
      <c r="AX28" s="25">
        <f>$K28/(($C$93*(1-$C$93))+(($K28-1)*($C$93*$C$93)*((1-$C$93)*(1-$C$93))*($B$93*$B$93)))</f>
        <v>587.71241645493171</v>
      </c>
      <c r="AY28" s="24">
        <f t="shared" si="25"/>
        <v>278.86065327031207</v>
      </c>
      <c r="AZ28" s="24">
        <f t="shared" si="26"/>
        <v>76.184942873787435</v>
      </c>
      <c r="BA28" s="25">
        <f>$K28/(($C$94*(1-$C$94))+(($K28-1)*($C$94*$C$94)*((1-$C$94)*(1-$C$94))*($B$94*$B$94)))</f>
        <v>588.52115393026452</v>
      </c>
      <c r="BB28" s="24">
        <f t="shared" si="27"/>
        <v>279.69536998062199</v>
      </c>
      <c r="BC28" s="24">
        <f t="shared" si="28"/>
        <v>76.289779213182427</v>
      </c>
      <c r="BD28" s="25">
        <f>$K28/(($C$95*(1-$C$95))+(($K28-1)*($C$95*$C$95)*((1-$C$95)*(1-$C$95))*($B$95*$B$95)))</f>
        <v>589.21536226723174</v>
      </c>
      <c r="BE28" s="24">
        <f t="shared" si="29"/>
        <v>280.41314382480817</v>
      </c>
      <c r="BF28" s="24">
        <f t="shared" si="30"/>
        <v>76.379769182789289</v>
      </c>
      <c r="BG28" s="25">
        <f>$K28/(($C$96*(1-$C$96))+(($K28-1)*($C$96*$C$96)*((1-$C$96)*(1-$C$96))*($B$96*$B$96)))</f>
        <v>589.81267829276612</v>
      </c>
      <c r="BH28" s="24">
        <f t="shared" si="31"/>
        <v>281.03167180212154</v>
      </c>
      <c r="BI28" s="24">
        <f t="shared" si="32"/>
        <v>76.457199037951156</v>
      </c>
      <c r="BJ28" s="25">
        <f>$K28/(($C$97*(1-$C$97))+(($K28-1)*($C$97*$C$97)*((1-$C$97)*(1-$C$97))*($B$97*$B$97)))</f>
        <v>590.32767846814284</v>
      </c>
      <c r="BK28" s="24">
        <f t="shared" si="33"/>
        <v>281.56565539454715</v>
      </c>
      <c r="BL28" s="24">
        <f t="shared" si="34"/>
        <v>76.523958319944441</v>
      </c>
      <c r="BM28" s="25">
        <f>$K28/(($C$98*(1-$C$98))+(($K28-1)*($C$98*$C$98)*((1-$C$98)*(1-$C$98))*($B$98*$B$98)))</f>
        <v>590.77249157713266</v>
      </c>
      <c r="BN28" s="24">
        <f t="shared" si="35"/>
        <v>282.0273824845159</v>
      </c>
      <c r="BO28" s="24">
        <f t="shared" si="36"/>
        <v>76.581619278517195</v>
      </c>
      <c r="BP28" s="25">
        <f>$K28/(($C$99*(1-$C$99))+(($K28-1)*($C$99*$C$99)*((1-$C$99)*(1-$C$99))*($B$99*$B$99)))</f>
        <v>591.1572699885204</v>
      </c>
      <c r="BQ28" s="24">
        <f t="shared" si="37"/>
        <v>282.42717914738125</v>
      </c>
      <c r="BR28" s="24">
        <f t="shared" si="38"/>
        <v>76.631497961474864</v>
      </c>
      <c r="BS28" s="49">
        <f>$K28/(($C$100*(1-$C$100))+(($K28-1)*($C$100*$C$100)*((1-$C$100)*(1-$C$100))*($B$100*$B$100)))</f>
        <v>591.48474627626513</v>
      </c>
      <c r="BT28" s="50">
        <f t="shared" si="39"/>
        <v>282.74017139554098</v>
      </c>
      <c r="BU28" s="50">
        <f t="shared" si="40"/>
        <v>76.673948591367704</v>
      </c>
      <c r="BV28" s="49"/>
      <c r="BW28" s="50">
        <f t="shared" si="41"/>
        <v>2.4683177657247843</v>
      </c>
      <c r="BX28" s="24"/>
      <c r="BY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</row>
    <row r="29" spans="1:255" x14ac:dyDescent="0.15">
      <c r="A29" s="111">
        <v>1200</v>
      </c>
      <c r="B29" s="112">
        <v>20.29</v>
      </c>
      <c r="C29" s="111">
        <v>9</v>
      </c>
      <c r="D29" s="114">
        <f t="shared" si="42"/>
        <v>33</v>
      </c>
      <c r="E29" s="113">
        <f t="shared" si="43"/>
        <v>0.27272727272727271</v>
      </c>
      <c r="F29" s="110">
        <f t="shared" si="44"/>
        <v>69.925738348894697</v>
      </c>
      <c r="G29" s="110">
        <f>IF(C29=0,F29*SQRT((1/(0.5+C29))+(1/(0.5+D29))),F29*SQRT((1/C29)+(1/D29)))</f>
        <v>26.295624011052446</v>
      </c>
      <c r="H29" s="24">
        <f>($C$54*(C29+D29))/($C$54+$D$54)</f>
        <v>4.25</v>
      </c>
      <c r="I29" s="24">
        <f>($D$54*(C29+D29))/($C$54+$D$54)</f>
        <v>37.75</v>
      </c>
      <c r="J29" s="24">
        <f>(((C29-H29)^2)/H29)+(((D29-I29)^2)/I29)</f>
        <v>5.9065056486170624</v>
      </c>
      <c r="K29" s="29">
        <f>C29+D29</f>
        <v>42</v>
      </c>
      <c r="L29" s="24">
        <f>C29/K29</f>
        <v>0.21428571428571427</v>
      </c>
      <c r="M29" s="24">
        <f>LOG((C29+0.5)/(D29+0.5))</f>
        <v>-0.54732120174799748</v>
      </c>
      <c r="N29" s="25">
        <f t="shared" si="0"/>
        <v>435.64450053673346</v>
      </c>
      <c r="O29" s="24">
        <f t="shared" si="1"/>
        <v>2427.4657467436182</v>
      </c>
      <c r="P29" s="24">
        <f t="shared" si="2"/>
        <v>93.352392972157162</v>
      </c>
      <c r="Q29" s="25">
        <f>$K29/(($C$82*(1-$C$82))+(($K29-1)*($C$82*$C$82)*((1-$C$82)*(1-$C$82))*($B$82*$B$82)))</f>
        <v>439.87663322425652</v>
      </c>
      <c r="R29" s="24">
        <f t="shared" si="3"/>
        <v>2468.6022104909457</v>
      </c>
      <c r="S29" s="24">
        <f t="shared" si="4"/>
        <v>94.259278548054965</v>
      </c>
      <c r="T29" s="25">
        <f>$K29/(($C$83*(1-$C$83))+(($K29-1)*($C$83*$C$83)*((1-$C$83)*(1-$C$83))*($B$83*$B$83)))</f>
        <v>443.70036530287399</v>
      </c>
      <c r="U29" s="24">
        <f t="shared" si="5"/>
        <v>2512.7287313811648</v>
      </c>
      <c r="V29" s="24">
        <f t="shared" si="6"/>
        <v>95.0786497077587</v>
      </c>
      <c r="W29" s="25">
        <f>$K29/(($C$84*(1-$C$84))+(($K29-1)*($C$84*$C$84)*((1-$C$84)*(1-$C$84))*($B$84*$B$84)))</f>
        <v>446.71422531701876</v>
      </c>
      <c r="X29" s="24">
        <f t="shared" si="7"/>
        <v>2547.8338753302864</v>
      </c>
      <c r="Y29" s="24">
        <f t="shared" si="8"/>
        <v>95.724476853646877</v>
      </c>
      <c r="Z29" s="25">
        <f>$K29/(($C$85*(1-$C$85))+(($K29-1)*($C$85*$C$85)*((1-$C$85)*(1-$C$85))*($B$85*$B$85)))</f>
        <v>449.12940693655378</v>
      </c>
      <c r="AA29" s="24">
        <f t="shared" si="9"/>
        <v>2576.1651638579924</v>
      </c>
      <c r="AB29" s="24">
        <f t="shared" si="10"/>
        <v>96.242015772118663</v>
      </c>
      <c r="AC29" s="25">
        <f>$K29/(($C$86*(1-$C$86))+(($K29-1)*($C$86*$C$86)*((1-$C$86)*(1-$C$86))*($B$86*$B$86)))</f>
        <v>451.09145031416188</v>
      </c>
      <c r="AD29" s="24">
        <f t="shared" si="11"/>
        <v>2599.3115348386241</v>
      </c>
      <c r="AE29" s="24">
        <f t="shared" si="12"/>
        <v>96.662453638748971</v>
      </c>
      <c r="AF29" s="25">
        <f>$K29/(($C$87*(1-$C$87))+(($K29-1)*($C$87*$C$87)*((1-$C$87)*(1-$C$87))*($B$87*$B$87)))</f>
        <v>452.70326389716826</v>
      </c>
      <c r="AG29" s="24">
        <f t="shared" si="13"/>
        <v>2618.4138115971982</v>
      </c>
      <c r="AH29" s="24">
        <f t="shared" si="14"/>
        <v>97.00784226367891</v>
      </c>
      <c r="AI29" s="25">
        <f>$K29/(($C$88*(1-$C$88))+(($K29-1)*($C$88*$C$88)*((1-$C$88)*(1-$C$88))*($B$88*$B$88)))</f>
        <v>454.0396176580395</v>
      </c>
      <c r="AJ29" s="24">
        <f t="shared" si="15"/>
        <v>2634.3113970834147</v>
      </c>
      <c r="AK29" s="24">
        <f t="shared" si="16"/>
        <v>97.294203783865598</v>
      </c>
      <c r="AL29" s="25">
        <f>$K29/(($C$89*(1-$C$89))+(($K29-1)*($C$89*$C$89)*((1-$C$89)*(1-$C$89))*($B$89*$B$89)))</f>
        <v>455.15611340576851</v>
      </c>
      <c r="AM29" s="24">
        <f t="shared" si="17"/>
        <v>2647.6351287488401</v>
      </c>
      <c r="AN29" s="24">
        <f t="shared" si="18"/>
        <v>97.533452872664668</v>
      </c>
      <c r="AO29" s="25">
        <f>$K29/(($C$90*(1-$C$90))+(($K29-1)*($C$90*$C$90)*((1-$C$90)*(1-$C$90))*($B$90*$B$90)))</f>
        <v>456.09493355360087</v>
      </c>
      <c r="AP29" s="24">
        <f t="shared" si="19"/>
        <v>2658.8678921438072</v>
      </c>
      <c r="AQ29" s="24">
        <f t="shared" si="20"/>
        <v>97.734628618628747</v>
      </c>
      <c r="AR29" s="25">
        <f>$K29/(($C$91*(1-$C$91))+(($K29-1)*($C$91*$C$91)*((1-$C$91)*(1-$C$91))*($B$91*$B$91)))</f>
        <v>456.88863890709354</v>
      </c>
      <c r="AS29" s="24">
        <f t="shared" si="21"/>
        <v>2668.3852896542207</v>
      </c>
      <c r="AT29" s="24">
        <f t="shared" si="22"/>
        <v>97.904708337234325</v>
      </c>
      <c r="AU29" s="25">
        <f>$K29/(($C$92*(1-$C$92))+(($K29-1)*($C$92*$C$92)*((1-$C$92)*(1-$C$92))*($B$92*$B$92)))</f>
        <v>457.56274526213417</v>
      </c>
      <c r="AV29" s="24">
        <f t="shared" si="23"/>
        <v>2676.4836003078958</v>
      </c>
      <c r="AW29" s="24">
        <f t="shared" si="24"/>
        <v>98.049159699028749</v>
      </c>
      <c r="AX29" s="25">
        <f>$K29/(($C$93*(1-$C$93))+(($K29-1)*($C$93*$C$93)*((1-$C$93)*(1-$C$93))*($B$93*$B$93)))</f>
        <v>458.13751312224605</v>
      </c>
      <c r="AY29" s="24">
        <f t="shared" si="25"/>
        <v>2683.3994250587807</v>
      </c>
      <c r="AZ29" s="24">
        <f t="shared" si="26"/>
        <v>98.172324240481288</v>
      </c>
      <c r="BA29" s="25">
        <f>$K29/(($C$94*(1-$C$94))+(($K29-1)*($C$94*$C$94)*((1-$C$94)*(1-$C$94))*($B$94*$B$94)))</f>
        <v>458.62921720171494</v>
      </c>
      <c r="BB29" s="24">
        <f t="shared" si="27"/>
        <v>2689.3237626430673</v>
      </c>
      <c r="BC29" s="24">
        <f t="shared" si="28"/>
        <v>98.277689400367478</v>
      </c>
      <c r="BD29" s="25">
        <f>$K29/(($C$95*(1-$C$95))+(($K29-1)*($C$95*$C$95)*((1-$C$95)*(1-$C$95))*($B$95*$B$95)))</f>
        <v>459.05106404862852</v>
      </c>
      <c r="BE29" s="24">
        <f t="shared" si="29"/>
        <v>2694.4122747803071</v>
      </c>
      <c r="BF29" s="24">
        <f t="shared" si="30"/>
        <v>98.368085153277534</v>
      </c>
      <c r="BG29" s="25">
        <f>$K29/(($C$96*(1-$C$96))+(($K29-1)*($C$96*$C$96)*((1-$C$96)*(1-$C$96))*($B$96*$B$96)))</f>
        <v>459.41386671016329</v>
      </c>
      <c r="BH29" s="24">
        <f t="shared" si="31"/>
        <v>2698.7928935625018</v>
      </c>
      <c r="BI29" s="24">
        <f t="shared" si="32"/>
        <v>98.445828580749264</v>
      </c>
      <c r="BJ29" s="25">
        <f>$K29/(($C$97*(1-$C$97))+(($K29-1)*($C$97*$C$97)*((1-$C$97)*(1-$C$97))*($B$97*$B$97)))</f>
        <v>459.72654850191662</v>
      </c>
      <c r="BK29" s="24">
        <f t="shared" si="33"/>
        <v>2702.5715424567538</v>
      </c>
      <c r="BL29" s="24">
        <f t="shared" si="34"/>
        <v>98.512831821839271</v>
      </c>
      <c r="BM29" s="25">
        <f>$K29/(($C$98*(1-$C$98))+(($K29-1)*($C$98*$C$98)*((1-$C$98)*(1-$C$98))*($B$98*$B$98)))</f>
        <v>459.99652452193959</v>
      </c>
      <c r="BN29" s="24">
        <f t="shared" si="35"/>
        <v>2705.8364968951141</v>
      </c>
      <c r="BO29" s="24">
        <f t="shared" si="36"/>
        <v>98.570683826129908</v>
      </c>
      <c r="BP29" s="25">
        <f>$K29/(($C$99*(1-$C$99))+(($K29-1)*($C$99*$C$99)*((1-$C$99)*(1-$C$99))*($B$99*$B$99)))</f>
        <v>460.22999434396138</v>
      </c>
      <c r="BQ29" s="24">
        <f t="shared" si="37"/>
        <v>2708.6617492622322</v>
      </c>
      <c r="BR29" s="24">
        <f t="shared" si="38"/>
        <v>98.620713073706</v>
      </c>
      <c r="BS29" s="49">
        <f>$K29/(($C$100*(1-$C$100))+(($K29-1)*($C$100*$C$100)*((1-$C$100)*(1-$C$100))*($B$100*$B$100)))</f>
        <v>460.42738282035504</v>
      </c>
      <c r="BT29" s="50">
        <f t="shared" si="39"/>
        <v>2710.9856884988912</v>
      </c>
      <c r="BU29" s="50">
        <f t="shared" si="40"/>
        <v>98.663010604361787</v>
      </c>
      <c r="BV29" s="49"/>
      <c r="BW29" s="50">
        <f t="shared" si="41"/>
        <v>2.6592157812837551</v>
      </c>
      <c r="BX29" s="24"/>
      <c r="BY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</row>
    <row r="30" spans="1:255" x14ac:dyDescent="0.15">
      <c r="A30" s="111">
        <v>900</v>
      </c>
      <c r="B30" s="112">
        <v>6.3800000000000026</v>
      </c>
      <c r="C30" s="111">
        <v>0</v>
      </c>
      <c r="D30" s="114">
        <f t="shared" si="42"/>
        <v>8</v>
      </c>
      <c r="E30" s="113">
        <f t="shared" si="43"/>
        <v>0</v>
      </c>
      <c r="F30" s="110">
        <f t="shared" si="44"/>
        <v>0</v>
      </c>
      <c r="G30" s="110">
        <f>IF(C30=0,F30*SQRT((1/(0.5+C30))+(1/(0.5+D30))),F30*SQRT((1/C30)+(1/D30)))</f>
        <v>0</v>
      </c>
      <c r="H30" s="24">
        <f>($C$54*(C30+D30))/($C$54+$D$54)</f>
        <v>0.80952380952380953</v>
      </c>
      <c r="I30" s="24">
        <f>($D$54*(C30+D30))/($C$54+$D$54)</f>
        <v>7.1904761904761907</v>
      </c>
      <c r="J30" s="24">
        <f>(((C30-H30)^2)/H30)+(((D30-I30)^2)/I30)</f>
        <v>0.90066225165562908</v>
      </c>
      <c r="K30" s="29">
        <f>C30+D30</f>
        <v>8</v>
      </c>
      <c r="L30" s="24">
        <f>C30/K30</f>
        <v>0</v>
      </c>
      <c r="M30" s="24">
        <f>LOG((C30+0.5)/(D30+0.5))</f>
        <v>-1.2304489213782739</v>
      </c>
      <c r="N30" s="25">
        <f t="shared" si="0"/>
        <v>87.067434558381393</v>
      </c>
      <c r="O30" s="24">
        <f t="shared" si="1"/>
        <v>77.623062939592174</v>
      </c>
      <c r="P30" s="24">
        <f t="shared" si="2"/>
        <v>0</v>
      </c>
      <c r="Q30" s="25">
        <f>$K30/(($C$82*(1-$C$82))+(($K30-1)*($C$82*$C$82)*((1-$C$82)*(1-$C$82))*($B$82*$B$82)))</f>
        <v>87.127900550289141</v>
      </c>
      <c r="R30" s="24">
        <f t="shared" si="3"/>
        <v>77.95083539542081</v>
      </c>
      <c r="S30" s="24">
        <f t="shared" si="4"/>
        <v>0</v>
      </c>
      <c r="T30" s="25">
        <f>$K30/(($C$83*(1-$C$83))+(($K30-1)*($C$83*$C$83)*((1-$C$83)*(1-$C$83))*($B$83*$B$83)))</f>
        <v>87.275878275456606</v>
      </c>
      <c r="U30" s="24">
        <f t="shared" si="5"/>
        <v>78.18037043811475</v>
      </c>
      <c r="V30" s="24">
        <f t="shared" si="6"/>
        <v>0</v>
      </c>
      <c r="W30" s="25">
        <f>$K30/(($C$84*(1-$C$84))+(($K30-1)*($C$84*$C$84)*((1-$C$84)*(1-$C$84))*($B$84*$B$84)))</f>
        <v>87.39176516944363</v>
      </c>
      <c r="X30" s="24">
        <f t="shared" si="7"/>
        <v>78.358840184803498</v>
      </c>
      <c r="Y30" s="24">
        <f t="shared" si="8"/>
        <v>0</v>
      </c>
      <c r="Z30" s="25">
        <f>$K30/(($C$85*(1-$C$85))+(($K30-1)*($C$85*$C$85)*((1-$C$85)*(1-$C$85))*($B$85*$B$85)))</f>
        <v>87.484057583023173</v>
      </c>
      <c r="AA30" s="24">
        <f t="shared" si="9"/>
        <v>78.500395757897067</v>
      </c>
      <c r="AB30" s="24">
        <f t="shared" si="10"/>
        <v>0</v>
      </c>
      <c r="AC30" s="25">
        <f>$K30/(($C$86*(1-$C$86))+(($K30-1)*($C$86*$C$86)*((1-$C$86)*(1-$C$86))*($B$86*$B$86)))</f>
        <v>87.558659188426375</v>
      </c>
      <c r="AD30" s="24">
        <f t="shared" si="11"/>
        <v>78.614449430687813</v>
      </c>
      <c r="AE30" s="24">
        <f t="shared" si="12"/>
        <v>0</v>
      </c>
      <c r="AF30" s="25">
        <f>$K30/(($C$87*(1-$C$87))+(($K30-1)*($C$87*$C$87)*((1-$C$87)*(1-$C$87))*($B$87*$B$87)))</f>
        <v>87.61969370087013</v>
      </c>
      <c r="AG30" s="24">
        <f t="shared" si="13"/>
        <v>78.707519513884719</v>
      </c>
      <c r="AH30" s="24">
        <f t="shared" si="14"/>
        <v>0</v>
      </c>
      <c r="AI30" s="25">
        <f>$K30/(($C$88*(1-$C$88))+(($K30-1)*($C$88*$C$88)*((1-$C$88)*(1-$C$88))*($B$88*$B$88)))</f>
        <v>87.670126550447876</v>
      </c>
      <c r="AJ30" s="24">
        <f t="shared" si="15"/>
        <v>78.7842609405578</v>
      </c>
      <c r="AK30" s="24">
        <f t="shared" si="16"/>
        <v>0</v>
      </c>
      <c r="AL30" s="25">
        <f>$K30/(($C$89*(1-$C$89))+(($K30-1)*($C$89*$C$89)*((1-$C$89)*(1-$C$89))*($B$89*$B$89)))</f>
        <v>87.712143693271727</v>
      </c>
      <c r="AM30" s="24">
        <f t="shared" si="17"/>
        <v>78.848085289261263</v>
      </c>
      <c r="AN30" s="24">
        <f t="shared" si="18"/>
        <v>0</v>
      </c>
      <c r="AO30" s="25">
        <f>$K30/(($C$90*(1-$C$90))+(($K30-1)*($C$90*$C$90)*((1-$C$90)*(1-$C$90))*($B$90*$B$90)))</f>
        <v>87.747391074453688</v>
      </c>
      <c r="AP30" s="24">
        <f t="shared" si="19"/>
        <v>78.901548870309213</v>
      </c>
      <c r="AQ30" s="24">
        <f t="shared" si="20"/>
        <v>0</v>
      </c>
      <c r="AR30" s="25">
        <f>$K30/(($C$91*(1-$C$91))+(($K30-1)*($C$91*$C$91)*((1-$C$91)*(1-$C$91))*($B$91*$B$91)))</f>
        <v>87.777130966875887</v>
      </c>
      <c r="AS30" s="24">
        <f t="shared" si="21"/>
        <v>78.946604004404932</v>
      </c>
      <c r="AT30" s="24">
        <f t="shared" si="22"/>
        <v>0</v>
      </c>
      <c r="AU30" s="25">
        <f>$K30/(($C$92*(1-$C$92))+(($K30-1)*($C$92*$C$92)*((1-$C$92)*(1-$C$92))*($B$92*$B$92)))</f>
        <v>87.802346952770648</v>
      </c>
      <c r="AV30" s="24">
        <f t="shared" si="23"/>
        <v>78.984766569731022</v>
      </c>
      <c r="AW30" s="24">
        <f t="shared" si="24"/>
        <v>0</v>
      </c>
      <c r="AX30" s="25">
        <f>$K30/(($C$93*(1-$C$93))+(($K30-1)*($C$93*$C$93)*((1-$C$93)*(1-$C$93))*($B$93*$B$93)))</f>
        <v>87.823816186529314</v>
      </c>
      <c r="AY30" s="24">
        <f t="shared" si="25"/>
        <v>79.017230631249603</v>
      </c>
      <c r="AZ30" s="24">
        <f t="shared" si="26"/>
        <v>0</v>
      </c>
      <c r="BA30" s="25">
        <f>$K30/(($C$94*(1-$C$94))+(($K30-1)*($C$94*$C$94)*((1-$C$94)*(1-$C$94))*($B$94*$B$94)))</f>
        <v>87.842160241837249</v>
      </c>
      <c r="BB30" s="24">
        <f t="shared" si="27"/>
        <v>79.044948671709093</v>
      </c>
      <c r="BC30" s="24">
        <f t="shared" si="28"/>
        <v>0</v>
      </c>
      <c r="BD30" s="25">
        <f>$K30/(($C$95*(1-$C$95))+(($K30-1)*($C$95*$C$95)*((1-$C$95)*(1-$C$95))*($B$95*$B$95)))</f>
        <v>87.857881600847847</v>
      </c>
      <c r="BE30" s="24">
        <f t="shared" si="29"/>
        <v>79.068688898864707</v>
      </c>
      <c r="BF30" s="24">
        <f t="shared" si="30"/>
        <v>0</v>
      </c>
      <c r="BG30" s="25">
        <f>$K30/(($C$96*(1-$C$96))+(($K30-1)*($C$96*$C$96)*((1-$C$96)*(1-$C$96))*($B$96*$B$96)))</f>
        <v>87.871390308175677</v>
      </c>
      <c r="BH30" s="24">
        <f t="shared" si="31"/>
        <v>79.089076932737441</v>
      </c>
      <c r="BI30" s="24">
        <f t="shared" si="32"/>
        <v>0</v>
      </c>
      <c r="BJ30" s="25">
        <f>$K30/(($C$97*(1-$C$97))+(($K30-1)*($C$97*$C$97)*((1-$C$97)*(1-$C$97))*($B$97*$B$97)))</f>
        <v>87.883023756156064</v>
      </c>
      <c r="BK30" s="24">
        <f t="shared" si="33"/>
        <v>79.106626635186501</v>
      </c>
      <c r="BL30" s="24">
        <f t="shared" si="34"/>
        <v>0</v>
      </c>
      <c r="BM30" s="25">
        <f>$K30/(($C$98*(1-$C$98))+(($K30-1)*($C$98*$C$98)*((1-$C$98)*(1-$C$98))*($B$98*$B$98)))</f>
        <v>87.893061588162254</v>
      </c>
      <c r="BN30" s="24">
        <f t="shared" si="35"/>
        <v>79.121763254697015</v>
      </c>
      <c r="BO30" s="24">
        <f t="shared" si="36"/>
        <v>0</v>
      </c>
      <c r="BP30" s="25">
        <f>$K30/(($C$99*(1-$C$99))+(($K30-1)*($C$99*$C$99)*((1-$C$99)*(1-$C$99))*($B$99*$B$99)))</f>
        <v>87.901737076072166</v>
      </c>
      <c r="BQ30" s="24">
        <f t="shared" si="37"/>
        <v>79.134841041984885</v>
      </c>
      <c r="BR30" s="24">
        <f t="shared" si="38"/>
        <v>0</v>
      </c>
      <c r="BS30" s="49">
        <f>$K30/(($C$100*(1-$C$100))+(($K30-1)*($C$100*$C$100)*((1-$C$100)*(1-$C$100))*($B$100*$B$100)))</f>
        <v>87.908188952017753</v>
      </c>
      <c r="BT30" s="50">
        <f t="shared" si="39"/>
        <v>79.146458262119282</v>
      </c>
      <c r="BU30" s="50">
        <f t="shared" si="40"/>
        <v>0</v>
      </c>
      <c r="BV30" s="49"/>
      <c r="BW30" s="50" t="e">
        <f t="shared" si="41"/>
        <v>#DIV/0!</v>
      </c>
      <c r="BX30" s="24"/>
      <c r="BY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</row>
    <row r="31" spans="1:255" x14ac:dyDescent="0.15">
      <c r="A31" s="111">
        <v>600</v>
      </c>
      <c r="B31" s="112">
        <v>16.530000000000005</v>
      </c>
      <c r="C31" s="111">
        <v>2</v>
      </c>
      <c r="D31" s="114">
        <f t="shared" si="42"/>
        <v>13</v>
      </c>
      <c r="E31" s="113">
        <f t="shared" si="43"/>
        <v>0.15384615384615385</v>
      </c>
      <c r="F31" s="110">
        <f t="shared" si="44"/>
        <v>39.538498816827982</v>
      </c>
      <c r="G31" s="110">
        <f>IF(C31=0,F31*SQRT((1/(0.5+C31))+(1/(0.5+D31))),F31*SQRT((1/C31)+(1/D31)))</f>
        <v>30.031645700394503</v>
      </c>
      <c r="H31" s="24">
        <f>($C$54*(C31+D31))/($C$54+$D$54)</f>
        <v>1.5178571428571428</v>
      </c>
      <c r="I31" s="24">
        <f>($D$54*(C31+D31))/($C$54+$D$54)</f>
        <v>13.482142857142858</v>
      </c>
      <c r="J31" s="24">
        <f>(((C31-H31)^2)/H31)+(((D31-I31)^2)/I31)</f>
        <v>0.17039345539540329</v>
      </c>
      <c r="K31" s="29">
        <f>C31+D31</f>
        <v>15</v>
      </c>
      <c r="L31" s="24">
        <f>C31/K31</f>
        <v>0.13333333333333333</v>
      </c>
      <c r="M31" s="24">
        <f>LOG((C31+0.5)/(D31+0.5))</f>
        <v>-0.7323937598229685</v>
      </c>
      <c r="N31" s="25">
        <f t="shared" si="0"/>
        <v>161.61242879741448</v>
      </c>
      <c r="O31" s="24">
        <f t="shared" si="1"/>
        <v>26.984754444971276</v>
      </c>
      <c r="P31" s="24">
        <f t="shared" si="2"/>
        <v>21.548323839655264</v>
      </c>
      <c r="Q31" s="25">
        <f>$K31/(($C$82*(1-$C$82))+(($K31-1)*($C$82*$C$82)*((1-$C$82)*(1-$C$82))*($B$82*$B$82)))</f>
        <v>162.03422275612294</v>
      </c>
      <c r="R31" s="24">
        <f t="shared" si="3"/>
        <v>26.88489441536052</v>
      </c>
      <c r="S31" s="24">
        <f t="shared" si="4"/>
        <v>21.604563034149727</v>
      </c>
      <c r="T31" s="25">
        <f>$K31/(($C$83*(1-$C$83))+(($K31-1)*($C$83*$C$83)*((1-$C$83)*(1-$C$83))*($B$83*$B$83)))</f>
        <v>162.54876624788059</v>
      </c>
      <c r="U31" s="24">
        <f t="shared" si="5"/>
        <v>27.094787915017815</v>
      </c>
      <c r="V31" s="24">
        <f t="shared" si="6"/>
        <v>21.673168833050745</v>
      </c>
      <c r="W31" s="25">
        <f>$K31/(($C$84*(1-$C$84))+(($K31-1)*($C$84*$C$84)*((1-$C$84)*(1-$C$84))*($B$84*$B$84)))</f>
        <v>162.95139415209209</v>
      </c>
      <c r="X31" s="24">
        <f t="shared" si="7"/>
        <v>27.261378015108495</v>
      </c>
      <c r="Y31" s="24">
        <f t="shared" si="8"/>
        <v>21.726852553612279</v>
      </c>
      <c r="Z31" s="25">
        <f>$K31/(($C$85*(1-$C$85))+(($K31-1)*($C$85*$C$85)*((1-$C$85)*(1-$C$85))*($B$85*$B$85)))</f>
        <v>163.2720467307515</v>
      </c>
      <c r="AA31" s="24">
        <f t="shared" si="9"/>
        <v>27.395265920970406</v>
      </c>
      <c r="AB31" s="24">
        <f t="shared" si="10"/>
        <v>21.769606230766865</v>
      </c>
      <c r="AC31" s="25">
        <f>$K31/(($C$86*(1-$C$86))+(($K31-1)*($C$86*$C$86)*((1-$C$86)*(1-$C$86))*($B$86*$B$86)))</f>
        <v>163.53123981757869</v>
      </c>
      <c r="AD31" s="24">
        <f t="shared" si="11"/>
        <v>27.504276077196465</v>
      </c>
      <c r="AE31" s="24">
        <f t="shared" si="12"/>
        <v>21.804165309010493</v>
      </c>
      <c r="AF31" s="25">
        <f>$K31/(($C$87*(1-$C$87))+(($K31-1)*($C$87*$C$87)*((1-$C$87)*(1-$C$87))*($B$87*$B$87)))</f>
        <v>163.74330057167245</v>
      </c>
      <c r="AG31" s="24">
        <f t="shared" si="13"/>
        <v>27.593983720241479</v>
      </c>
      <c r="AH31" s="24">
        <f t="shared" si="14"/>
        <v>21.832440076222994</v>
      </c>
      <c r="AI31" s="25">
        <f>$K31/(($C$88*(1-$C$88))+(($K31-1)*($C$88*$C$88)*((1-$C$88)*(1-$C$88))*($B$88*$B$88)))</f>
        <v>163.91853081647236</v>
      </c>
      <c r="AJ31" s="24">
        <f t="shared" si="15"/>
        <v>27.668463439455607</v>
      </c>
      <c r="AK31" s="24">
        <f t="shared" si="16"/>
        <v>21.85580410886298</v>
      </c>
      <c r="AL31" s="25">
        <f>$K31/(($C$89*(1-$C$89))+(($K31-1)*($C$89*$C$89)*((1-$C$89)*(1-$C$89))*($B$89*$B$89)))</f>
        <v>164.06452411924445</v>
      </c>
      <c r="AM31" s="24">
        <f t="shared" si="17"/>
        <v>27.730759365586064</v>
      </c>
      <c r="AN31" s="24">
        <f t="shared" si="18"/>
        <v>21.875269882565927</v>
      </c>
      <c r="AO31" s="25">
        <f>$K31/(($C$90*(1-$C$90))+(($K31-1)*($C$90*$C$90)*((1-$C$90)*(1-$C$90))*($B$90*$B$90)))</f>
        <v>164.18699806094003</v>
      </c>
      <c r="AP31" s="24">
        <f t="shared" si="19"/>
        <v>27.783189620160162</v>
      </c>
      <c r="AQ31" s="24">
        <f t="shared" si="20"/>
        <v>21.89159974145867</v>
      </c>
      <c r="AR31" s="25">
        <f>$K31/(($C$91*(1-$C$91))+(($K31-1)*($C$91*$C$91)*((1-$C$91)*(1-$C$91))*($B$91*$B$91)))</f>
        <v>164.29033746401703</v>
      </c>
      <c r="AS31" s="24">
        <f t="shared" si="21"/>
        <v>27.827549091606727</v>
      </c>
      <c r="AT31" s="24">
        <f t="shared" si="22"/>
        <v>21.905378328535605</v>
      </c>
      <c r="AU31" s="25">
        <f>$K31/(($C$92*(1-$C$92))+(($K31-1)*($C$92*$C$92)*((1-$C$92)*(1-$C$92))*($B$92*$B$92)))</f>
        <v>164.3779591080131</v>
      </c>
      <c r="AV31" s="24">
        <f t="shared" si="23"/>
        <v>27.865247920265258</v>
      </c>
      <c r="AW31" s="24">
        <f t="shared" si="24"/>
        <v>21.917061214401748</v>
      </c>
      <c r="AX31" s="25">
        <f>$K31/(($C$93*(1-$C$93))+(($K31-1)*($C$93*$C$93)*((1-$C$93)*(1-$C$93))*($B$93*$B$93)))</f>
        <v>164.45256274905677</v>
      </c>
      <c r="AY31" s="24">
        <f t="shared" si="25"/>
        <v>27.897408216076869</v>
      </c>
      <c r="AZ31" s="24">
        <f t="shared" si="26"/>
        <v>21.927008366540903</v>
      </c>
      <c r="BA31" s="25">
        <f>$K31/(($C$94*(1-$C$94))+(($K31-1)*($C$94*$C$94)*((1-$C$94)*(1-$C$94))*($B$94*$B$94)))</f>
        <v>164.51630773536073</v>
      </c>
      <c r="BB31" s="24">
        <f t="shared" si="27"/>
        <v>27.924932977008126</v>
      </c>
      <c r="BC31" s="24">
        <f t="shared" si="28"/>
        <v>21.935507698048095</v>
      </c>
      <c r="BD31" s="25">
        <f>$K31/(($C$95*(1-$C$95))+(($K31-1)*($C$95*$C$95)*((1-$C$95)*(1-$C$95))*($B$95*$B$95)))</f>
        <v>164.57093974590163</v>
      </c>
      <c r="BE31" s="24">
        <f t="shared" si="29"/>
        <v>27.948556097795372</v>
      </c>
      <c r="BF31" s="24">
        <f t="shared" si="30"/>
        <v>21.942791966120218</v>
      </c>
      <c r="BG31" s="25">
        <f>$K31/(($C$96*(1-$C$96))+(($K31-1)*($C$96*$C$96)*((1-$C$96)*(1-$C$96))*($B$96*$B$96)))</f>
        <v>164.61788336672549</v>
      </c>
      <c r="BH31" s="24">
        <f t="shared" si="31"/>
        <v>27.968879260273159</v>
      </c>
      <c r="BI31" s="24">
        <f t="shared" si="32"/>
        <v>21.9490511155634</v>
      </c>
      <c r="BJ31" s="25">
        <f>$K31/(($C$97*(1-$C$97))+(($K31-1)*($C$97*$C$97)*((1-$C$97)*(1-$C$97))*($B$97*$B$97)))</f>
        <v>164.65831081025186</v>
      </c>
      <c r="BK31" s="24">
        <f t="shared" si="33"/>
        <v>27.986399558677899</v>
      </c>
      <c r="BL31" s="24">
        <f t="shared" si="34"/>
        <v>21.954441441366914</v>
      </c>
      <c r="BM31" s="25">
        <f>$K31/(($C$98*(1-$C$98))+(($K31-1)*($C$98*$C$98)*((1-$C$98)*(1-$C$98))*($B$98*$B$98)))</f>
        <v>164.69319367887658</v>
      </c>
      <c r="BN31" s="24">
        <f t="shared" si="35"/>
        <v>28.001530473626641</v>
      </c>
      <c r="BO31" s="24">
        <f t="shared" si="36"/>
        <v>21.959092490516877</v>
      </c>
      <c r="BP31" s="25">
        <f>$K31/(($C$99*(1-$C$99))+(($K31-1)*($C$99*$C$99)*((1-$C$99)*(1-$C$99))*($B$99*$B$99)))</f>
        <v>164.72334248301146</v>
      </c>
      <c r="BQ31" s="24">
        <f t="shared" si="37"/>
        <v>28.014617998920645</v>
      </c>
      <c r="BR31" s="24">
        <f t="shared" si="38"/>
        <v>21.963112331068196</v>
      </c>
      <c r="BS31" s="49">
        <f>$K31/(($C$100*(1-$C$100))+(($K31-1)*($C$100*$C$100)*((1-$C$100)*(1-$C$100))*($B$100*$B$100)))</f>
        <v>164.74751166497376</v>
      </c>
      <c r="BT31" s="50">
        <f t="shared" si="39"/>
        <v>28.022839542548464</v>
      </c>
      <c r="BU31" s="50">
        <f t="shared" si="40"/>
        <v>21.966334888663166</v>
      </c>
      <c r="BV31" s="49"/>
      <c r="BW31" s="50">
        <f t="shared" si="41"/>
        <v>1.3165611772087666</v>
      </c>
      <c r="BX31" s="24"/>
      <c r="BY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</row>
    <row r="32" spans="1:255" x14ac:dyDescent="0.15">
      <c r="A32" s="111">
        <v>4200</v>
      </c>
      <c r="B32" s="112">
        <v>16.052177422393516</v>
      </c>
      <c r="C32" s="111">
        <v>7</v>
      </c>
      <c r="D32" s="114">
        <f t="shared" si="42"/>
        <v>90</v>
      </c>
      <c r="E32" s="113">
        <f t="shared" si="43"/>
        <v>7.7777777777777779E-2</v>
      </c>
      <c r="F32" s="110">
        <f t="shared" si="44"/>
        <v>20.019216482961333</v>
      </c>
      <c r="G32" s="110">
        <f>IF(C32=0,F32*SQRT((1/(0.5+C32))+(1/(0.5+D32))),F32*SQRT((1/C32)+(1/D32)))</f>
        <v>7.855298057795947</v>
      </c>
      <c r="H32" s="24">
        <f>($C$54*(C32+D32))/($C$54+$D$54)</f>
        <v>9.8154761904761898</v>
      </c>
      <c r="I32" s="24">
        <f>($D$54*(C32+D32))/($C$54+$D$54)</f>
        <v>87.18452380952381</v>
      </c>
      <c r="J32" s="24">
        <f>(((C32-H32)^2)/H32)+(((D32-I32)^2)/I32)</f>
        <v>0.89851364864919103</v>
      </c>
      <c r="K32" s="29">
        <f>C32+D32</f>
        <v>97</v>
      </c>
      <c r="L32" s="24">
        <f>C32/K32</f>
        <v>7.2164948453608241E-2</v>
      </c>
      <c r="M32" s="24">
        <f>LOG((C32+0.5)/(D32+0.5))</f>
        <v>-1.0815873158135032</v>
      </c>
      <c r="N32" s="25">
        <f t="shared" si="0"/>
        <v>935.11566221703424</v>
      </c>
      <c r="O32" s="24">
        <f t="shared" si="1"/>
        <v>736.70041002514461</v>
      </c>
      <c r="P32" s="24">
        <f>N32*L32</f>
        <v>67.482573562054014</v>
      </c>
      <c r="Q32" s="25">
        <f>$K32/(($C$82*(1-$C$82))+(($K32-1)*($C$82*$C$82)*((1-$C$82)*(1-$C$82))*($B$82*$B$82)))</f>
        <v>956.55475690154276</v>
      </c>
      <c r="R32" s="24">
        <f t="shared" si="3"/>
        <v>778.48465146252454</v>
      </c>
      <c r="S32" s="24">
        <f t="shared" si="4"/>
        <v>69.029724724853594</v>
      </c>
      <c r="T32" s="25">
        <f>$K32/(($C$83*(1-$C$83))+(($K32-1)*($C$83*$C$83)*((1-$C$83)*(1-$C$83))*($B$83*$B$83)))</f>
        <v>974.8398951237964</v>
      </c>
      <c r="U32" s="24">
        <f t="shared" si="5"/>
        <v>807.2580114999223</v>
      </c>
      <c r="V32" s="24">
        <f t="shared" si="6"/>
        <v>70.349270782129636</v>
      </c>
      <c r="W32" s="25">
        <f>$K32/(($C$84*(1-$C$84))+(($K32-1)*($C$84*$C$84)*((1-$C$84)*(1-$C$84))*($B$84*$B$84)))</f>
        <v>989.50891319129494</v>
      </c>
      <c r="X32" s="24">
        <f t="shared" si="7"/>
        <v>830.65548459686158</v>
      </c>
      <c r="Y32" s="24">
        <f t="shared" si="8"/>
        <v>71.407859714835709</v>
      </c>
      <c r="Z32" s="25">
        <f>$K32/(($C$85*(1-$C$85))+(($K32-1)*($C$85*$C$85)*((1-$C$85)*(1-$C$85))*($B$85*$B$85)))</f>
        <v>1001.4330621462093</v>
      </c>
      <c r="AA32" s="24">
        <f t="shared" si="9"/>
        <v>849.89030391722451</v>
      </c>
      <c r="AB32" s="24">
        <f t="shared" si="10"/>
        <v>72.268365309520249</v>
      </c>
      <c r="AC32" s="25">
        <f>$K32/(($C$86*(1-$C$86))+(($K32-1)*($C$86*$C$86)*((1-$C$86)*(1-$C$86))*($B$86*$B$86)))</f>
        <v>1011.232880600639</v>
      </c>
      <c r="AD32" s="24">
        <f t="shared" si="11"/>
        <v>865.84311294280997</v>
      </c>
      <c r="AE32" s="24">
        <f t="shared" si="12"/>
        <v>72.97556870313889</v>
      </c>
      <c r="AF32" s="25">
        <f>$K32/(($C$87*(1-$C$87))+(($K32-1)*($C$87*$C$87)*((1-$C$87)*(1-$C$87))*($B$87*$B$87)))</f>
        <v>1019.3603389789528</v>
      </c>
      <c r="AG32" s="24">
        <f t="shared" si="13"/>
        <v>879.17263575650952</v>
      </c>
      <c r="AH32" s="24">
        <f t="shared" si="14"/>
        <v>73.562086318068751</v>
      </c>
      <c r="AI32" s="25">
        <f>$K32/(($C$88*(1-$C$88))+(($K32-1)*($C$88*$C$88)*((1-$C$88)*(1-$C$88))*($B$88*$B$88)))</f>
        <v>1026.1521236252056</v>
      </c>
      <c r="AJ32" s="24">
        <f t="shared" si="15"/>
        <v>890.38050673326279</v>
      </c>
      <c r="AK32" s="24">
        <f t="shared" si="16"/>
        <v>74.052215106973591</v>
      </c>
      <c r="AL32" s="25">
        <f>$K32/(($C$89*(1-$C$89))+(($K32-1)*($C$89*$C$89)*((1-$C$89)*(1-$C$89))*($B$89*$B$89)))</f>
        <v>1031.8639837816606</v>
      </c>
      <c r="AM32" s="24">
        <f t="shared" si="17"/>
        <v>899.85487317480715</v>
      </c>
      <c r="AN32" s="24">
        <f t="shared" si="18"/>
        <v>74.464411200738397</v>
      </c>
      <c r="AO32" s="25">
        <f>$K32/(($C$90*(1-$C$90))+(($K32-1)*($C$90*$C$90)*((1-$C$90)*(1-$C$90))*($B$90*$B$90)))</f>
        <v>1036.6935165715099</v>
      </c>
      <c r="AP32" s="24">
        <f t="shared" si="19"/>
        <v>907.90035594745632</v>
      </c>
      <c r="AQ32" s="24">
        <f t="shared" si="20"/>
        <v>74.812934185572871</v>
      </c>
      <c r="AR32" s="25">
        <f>$K32/(($C$91*(1-$C$91))+(($K32-1)*($C$91*$C$91)*((1-$C$91)*(1-$C$91))*($B$91*$B$91)))</f>
        <v>1040.7956732774132</v>
      </c>
      <c r="AS32" s="24">
        <f t="shared" si="21"/>
        <v>914.75904861421134</v>
      </c>
      <c r="AT32" s="24">
        <f t="shared" si="22"/>
        <v>75.108966112803017</v>
      </c>
      <c r="AU32" s="25">
        <f>$K32/(($C$92*(1-$C$92))+(($K32-1)*($C$92*$C$92)*((1-$C$92)*(1-$C$92))*($B$92*$B$92)))</f>
        <v>1044.2935553694881</v>
      </c>
      <c r="AV32" s="24">
        <f t="shared" si="23"/>
        <v>920.62550908760727</v>
      </c>
      <c r="AW32" s="24">
        <f t="shared" si="24"/>
        <v>75.361390593674386</v>
      </c>
      <c r="AX32" s="25">
        <f>$K32/(($C$93*(1-$C$93))+(($K32-1)*($C$93*$C$93)*((1-$C$93)*(1-$C$93))*($B$93*$B$93)))</f>
        <v>1047.2860863186397</v>
      </c>
      <c r="AY32" s="24">
        <f t="shared" si="25"/>
        <v>925.65764615721127</v>
      </c>
      <c r="AZ32" s="24">
        <f t="shared" si="26"/>
        <v>75.57734643536574</v>
      </c>
      <c r="BA32" s="25">
        <f>$K32/(($C$94*(1-$C$94))+(($K32-1)*($C$94*$C$94)*((1-$C$94)*(1-$C$94))*($B$94*$B$94)))</f>
        <v>1049.8535647638075</v>
      </c>
      <c r="BB32" s="24">
        <f t="shared" si="27"/>
        <v>929.98475016114003</v>
      </c>
      <c r="BC32" s="24">
        <f t="shared" si="28"/>
        <v>75.762628385017038</v>
      </c>
      <c r="BD32" s="25">
        <f>$K32/(($C$95*(1-$C$95))+(($K32-1)*($C$95*$C$95)*((1-$C$95)*(1-$C$95))*($B$95*$B$95)))</f>
        <v>1052.0617519148821</v>
      </c>
      <c r="BE32" s="24">
        <f t="shared" si="29"/>
        <v>933.71350353799278</v>
      </c>
      <c r="BF32" s="24">
        <f t="shared" si="30"/>
        <v>75.921982096950245</v>
      </c>
      <c r="BG32" s="25">
        <f>$K32/(($C$96*(1-$C$96))+(($K32-1)*($C$96*$C$96)*((1-$C$96)*(1-$C$96))*($B$96*$B$96)))</f>
        <v>1053.9649262954022</v>
      </c>
      <c r="BH32" s="24">
        <f t="shared" si="31"/>
        <v>936.93254015230752</v>
      </c>
      <c r="BI32" s="24">
        <f t="shared" si="32"/>
        <v>76.059324578018703</v>
      </c>
      <c r="BJ32" s="25">
        <f>$K32/(($C$97*(1-$C$97))+(($K32-1)*($C$97*$C$97)*((1-$C$97)*(1-$C$97))*($B$97*$B$97)))</f>
        <v>1055.6081987949601</v>
      </c>
      <c r="BK32" s="24">
        <f t="shared" si="33"/>
        <v>939.71594697638932</v>
      </c>
      <c r="BL32" s="24">
        <f t="shared" si="34"/>
        <v>76.177911253244531</v>
      </c>
      <c r="BM32" s="25">
        <f>$K32/(($C$98*(1-$C$98))+(($K32-1)*($C$98*$C$98)*((1-$C$98)*(1-$C$98))*($B$98*$B$98)))</f>
        <v>1057.0292897641341</v>
      </c>
      <c r="BN32" s="24">
        <f t="shared" si="35"/>
        <v>942.12598456965031</v>
      </c>
      <c r="BO32" s="24">
        <f t="shared" si="36"/>
        <v>76.280464209782863</v>
      </c>
      <c r="BP32" s="25">
        <f>$K32/(($C$99*(1-$C$99))+(($K32-1)*($C$99*$C$99)*((1-$C$99)*(1-$C$99))*($B$99*$B$99)))</f>
        <v>1058.259909340431</v>
      </c>
      <c r="BQ32" s="24">
        <f t="shared" si="37"/>
        <v>944.2152232733697</v>
      </c>
      <c r="BR32" s="24">
        <f t="shared" si="38"/>
        <v>76.369271808072341</v>
      </c>
      <c r="BS32" s="49">
        <f>$K32/(($C$100*(1-$C$100))+(($K32-1)*($C$100*$C$100)*((1-$C$100)*(1-$C$100))*($B$100*$B$100)))</f>
        <v>1059.3186012782094</v>
      </c>
      <c r="BT32" s="50">
        <f t="shared" si="39"/>
        <v>946.10536964695734</v>
      </c>
      <c r="BU32" s="50">
        <f t="shared" si="40"/>
        <v>76.445672257190367</v>
      </c>
      <c r="BV32" s="49"/>
      <c r="BW32" s="50">
        <f t="shared" si="41"/>
        <v>2.5484986483858969</v>
      </c>
      <c r="BX32" s="24"/>
      <c r="BY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</row>
    <row r="33" spans="1:255" x14ac:dyDescent="0.15">
      <c r="A33" s="111">
        <v>2800</v>
      </c>
      <c r="B33" s="112">
        <v>17.276484017299357</v>
      </c>
      <c r="C33" s="111">
        <v>3</v>
      </c>
      <c r="D33" s="114">
        <f t="shared" si="42"/>
        <v>65</v>
      </c>
      <c r="E33" s="113">
        <f t="shared" si="43"/>
        <v>4.6153846153846156E-2</v>
      </c>
      <c r="F33" s="110">
        <f t="shared" si="44"/>
        <v>11.887033557641539</v>
      </c>
      <c r="G33" s="110">
        <f>IF(C33=0,F33*SQRT((1/(0.5+C33))+(1/(0.5+D33))),F33*SQRT((1/C33)+(1/D33)))</f>
        <v>7.0195721041457499</v>
      </c>
      <c r="H33" s="24">
        <f>($C$54*(C33+D33))/($C$54+$D$54)</f>
        <v>6.8809523809523814</v>
      </c>
      <c r="I33" s="24">
        <f>($D$54*(C33+D33))/($C$54+$D$54)</f>
        <v>61.11904761904762</v>
      </c>
      <c r="J33" s="24">
        <f>(((C33-H33)^2)/H33)+(((D33-I33)^2)/I33)</f>
        <v>2.4353445312679027</v>
      </c>
      <c r="K33" s="29">
        <f>C33+D33</f>
        <v>68</v>
      </c>
      <c r="L33" s="24">
        <f>C33/K33</f>
        <v>4.4117647058823532E-2</v>
      </c>
      <c r="M33" s="24">
        <f>LOG((C33+0.5)/(D33+0.5))</f>
        <v>-1.2721732556415075</v>
      </c>
      <c r="N33" s="25">
        <f t="shared" si="0"/>
        <v>680.88512521391408</v>
      </c>
      <c r="O33" s="24">
        <f t="shared" si="1"/>
        <v>1510.1027406371161</v>
      </c>
      <c r="P33" s="24">
        <f>N33*L33</f>
        <v>30.039049641790328</v>
      </c>
      <c r="Q33" s="25">
        <f>$K33/(($C$82*(1-$C$82))+(($K33-1)*($C$82*$C$82)*((1-$C$82)*(1-$C$82))*($B$82*$B$82)))</f>
        <v>691.88744015281259</v>
      </c>
      <c r="R33" s="24">
        <f t="shared" si="3"/>
        <v>1567.1262358731121</v>
      </c>
      <c r="S33" s="24">
        <f t="shared" si="4"/>
        <v>30.524445889094675</v>
      </c>
      <c r="T33" s="25">
        <f>$K33/(($C$83*(1-$C$83))+(($K33-1)*($C$83*$C$83)*((1-$C$83)*(1-$C$83))*($B$83*$B$83)))</f>
        <v>701.40072148759793</v>
      </c>
      <c r="U33" s="24">
        <f t="shared" si="5"/>
        <v>1609.2242164865356</v>
      </c>
      <c r="V33" s="24">
        <f t="shared" si="6"/>
        <v>30.944149477394028</v>
      </c>
      <c r="W33" s="25">
        <f>$K33/(($C$84*(1-$C$84))+(($K33-1)*($C$84*$C$84)*((1-$C$84)*(1-$C$84))*($B$84*$B$84)))</f>
        <v>708.96248339902218</v>
      </c>
      <c r="X33" s="24">
        <f t="shared" si="7"/>
        <v>1643.0211316276193</v>
      </c>
      <c r="Y33" s="24">
        <f t="shared" si="8"/>
        <v>31.277756620545098</v>
      </c>
      <c r="Z33" s="25">
        <f>$K33/(($C$85*(1-$C$85))+(($K33-1)*($C$85*$C$85)*((1-$C$85)*(1-$C$85))*($B$85*$B$85)))</f>
        <v>715.06356273996778</v>
      </c>
      <c r="AA33" s="24">
        <f t="shared" si="9"/>
        <v>1670.5149132143224</v>
      </c>
      <c r="AB33" s="24">
        <f t="shared" si="10"/>
        <v>31.546921885586816</v>
      </c>
      <c r="AC33" s="25">
        <f>$K33/(($C$86*(1-$C$86))+(($K33-1)*($C$86*$C$86)*((1-$C$86)*(1-$C$86))*($B$86*$B$86)))</f>
        <v>720.04732511011775</v>
      </c>
      <c r="AD33" s="24">
        <f t="shared" si="11"/>
        <v>1693.123028028117</v>
      </c>
      <c r="AE33" s="24">
        <f t="shared" si="12"/>
        <v>31.766793754858138</v>
      </c>
      <c r="AF33" s="25">
        <f>$K33/(($C$87*(1-$C$87))+(($K33-1)*($C$87*$C$87)*((1-$C$87)*(1-$C$87))*($B$87*$B$87)))</f>
        <v>724.15997275354061</v>
      </c>
      <c r="AG33" s="24">
        <f t="shared" si="13"/>
        <v>1711.8806478779386</v>
      </c>
      <c r="AH33" s="24">
        <f t="shared" si="14"/>
        <v>31.94823409206797</v>
      </c>
      <c r="AI33" s="25">
        <f>$K33/(($C$88*(1-$C$88))+(($K33-1)*($C$88*$C$88)*((1-$C$88)*(1-$C$88))*($B$88*$B$88)))</f>
        <v>727.58249895776555</v>
      </c>
      <c r="AJ33" s="24">
        <f t="shared" si="15"/>
        <v>1727.5604249577164</v>
      </c>
      <c r="AK33" s="24">
        <f t="shared" si="16"/>
        <v>32.09922789519554</v>
      </c>
      <c r="AL33" s="25">
        <f>$K33/(($C$89*(1-$C$89))+(($K33-1)*($C$89*$C$89)*((1-$C$89)*(1-$C$89))*($B$89*$B$89)))</f>
        <v>730.45084482692289</v>
      </c>
      <c r="AM33" s="24">
        <f t="shared" si="17"/>
        <v>1740.7501388693843</v>
      </c>
      <c r="AN33" s="24">
        <f t="shared" si="18"/>
        <v>32.225772565893656</v>
      </c>
      <c r="AO33" s="25">
        <f>$K33/(($C$90*(1-$C$90))+(($K33-1)*($C$90*$C$90)*((1-$C$90)*(1-$C$90))*($B$90*$B$90)))</f>
        <v>732.869026818046</v>
      </c>
      <c r="AP33" s="24">
        <f t="shared" si="19"/>
        <v>1751.9044319997158</v>
      </c>
      <c r="AQ33" s="24">
        <f t="shared" si="20"/>
        <v>32.332457065502034</v>
      </c>
      <c r="AR33" s="25">
        <f>$K33/(($C$91*(1-$C$91))+(($K33-1)*($C$91*$C$91)*((1-$C$91)*(1-$C$91))*($B$91*$B$91)))</f>
        <v>734.9179299124047</v>
      </c>
      <c r="AS33" s="24">
        <f t="shared" si="21"/>
        <v>1761.3801355581722</v>
      </c>
      <c r="AT33" s="24">
        <f t="shared" si="22"/>
        <v>32.422849849076677</v>
      </c>
      <c r="AU33" s="25">
        <f>$K33/(($C$92*(1-$C$92))+(($K33-1)*($C$92*$C$92)*((1-$C$92)*(1-$C$92))*($B$92*$B$92)))</f>
        <v>736.66134547645834</v>
      </c>
      <c r="AV33" s="24">
        <f t="shared" si="23"/>
        <v>1769.4609285519346</v>
      </c>
      <c r="AW33" s="24">
        <f t="shared" si="24"/>
        <v>32.499765241608458</v>
      </c>
      <c r="AX33" s="25">
        <f>$K33/(($C$93*(1-$C$93))+(($K33-1)*($C$93*$C$93)*((1-$C$93)*(1-$C$93))*($B$93*$B$93)))</f>
        <v>738.15020973419871</v>
      </c>
      <c r="AY33" s="24">
        <f t="shared" si="25"/>
        <v>1776.3748965817263</v>
      </c>
      <c r="AZ33" s="24">
        <f t="shared" si="26"/>
        <v>32.565450429449946</v>
      </c>
      <c r="BA33" s="25">
        <f>$K33/(($C$94*(1-$C$94))+(($K33-1)*($C$94*$C$94)*((1-$C$94)*(1-$C$94))*($B$94*$B$94)))</f>
        <v>739.42563855856179</v>
      </c>
      <c r="BB33" s="24">
        <f t="shared" si="27"/>
        <v>1782.3072623292999</v>
      </c>
      <c r="BC33" s="24">
        <f t="shared" si="28"/>
        <v>32.621719348171844</v>
      </c>
      <c r="BD33" s="25">
        <f>$K33/(($C$95*(1-$C$95))+(($K33-1)*($C$95*$C$95)*((1-$C$95)*(1-$C$95))*($B$95*$B$95)))</f>
        <v>740.5211395445358</v>
      </c>
      <c r="BE33" s="24">
        <f t="shared" si="29"/>
        <v>1787.4097681662906</v>
      </c>
      <c r="BF33" s="24">
        <f t="shared" si="30"/>
        <v>32.670050274023637</v>
      </c>
      <c r="BG33" s="25">
        <f>$K33/(($C$96*(1-$C$96))+(($K33-1)*($C$96*$C$96)*((1-$C$96)*(1-$C$96))*($B$96*$B$96)))</f>
        <v>741.46425071914268</v>
      </c>
      <c r="BH33" s="24">
        <f t="shared" si="31"/>
        <v>1791.8076958395529</v>
      </c>
      <c r="BI33" s="24">
        <f t="shared" si="32"/>
        <v>32.711658119962181</v>
      </c>
      <c r="BJ33" s="25">
        <f>$K33/(($C$97*(1-$C$97))+(($K33-1)*($C$97*$C$97)*((1-$C$97)*(1-$C$97))*($B$97*$B$97)))</f>
        <v>742.27777255669116</v>
      </c>
      <c r="BK33" s="24">
        <f t="shared" si="33"/>
        <v>1795.6051910872663</v>
      </c>
      <c r="BL33" s="24">
        <f t="shared" si="34"/>
        <v>32.747548789265785</v>
      </c>
      <c r="BM33" s="25">
        <f>$K33/(($C$98*(1-$C$98))+(($K33-1)*($C$98*$C$98)*((1-$C$98)*(1-$C$98))*($B$98*$B$98)))</f>
        <v>742.98070683614105</v>
      </c>
      <c r="BN33" s="24">
        <f t="shared" si="35"/>
        <v>1798.8893539574631</v>
      </c>
      <c r="BO33" s="24">
        <f t="shared" si="36"/>
        <v>32.778560595712108</v>
      </c>
      <c r="BP33" s="25">
        <f>$K33/(($C$99*(1-$C$99))+(($K33-1)*($C$99*$C$99)*((1-$C$99)*(1-$C$99))*($B$99*$B$99)))</f>
        <v>743.58898103328329</v>
      </c>
      <c r="BQ33" s="24">
        <f t="shared" si="37"/>
        <v>1801.7334178383749</v>
      </c>
      <c r="BR33" s="24">
        <f t="shared" si="38"/>
        <v>32.805396222056615</v>
      </c>
      <c r="BS33" s="49">
        <f>$K33/(($C$100*(1-$C$100))+(($K33-1)*($C$100*$C$100)*((1-$C$100)*(1-$C$100))*($B$100*$B$100)))</f>
        <v>744.10920059007947</v>
      </c>
      <c r="BT33" s="50">
        <f t="shared" si="39"/>
        <v>1804.2553078971334</v>
      </c>
      <c r="BU33" s="50">
        <f t="shared" si="40"/>
        <v>32.828347084856446</v>
      </c>
      <c r="BV33" s="49"/>
      <c r="BW33" s="50">
        <f t="shared" si="41"/>
        <v>1.6934128435864448</v>
      </c>
      <c r="BX33" s="24"/>
      <c r="BY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</row>
    <row r="34" spans="1:255" x14ac:dyDescent="0.15">
      <c r="A34" s="111">
        <v>900</v>
      </c>
      <c r="B34" s="112">
        <v>14.570000000000006</v>
      </c>
      <c r="C34" s="111">
        <v>1</v>
      </c>
      <c r="D34" s="114">
        <f t="shared" si="42"/>
        <v>18</v>
      </c>
      <c r="E34" s="113">
        <f t="shared" si="43"/>
        <v>5.5555555555555552E-2</v>
      </c>
      <c r="F34" s="110">
        <f t="shared" si="44"/>
        <v>14.305781335132634</v>
      </c>
      <c r="G34" s="110">
        <f>IF(C34=0,F34*SQRT((1/(0.5+C34))+(1/(0.5+D34))),F34*SQRT((1/C34)+(1/D34)))</f>
        <v>14.69779313095064</v>
      </c>
      <c r="H34" s="24">
        <f>($C$54*(C34+D34))/($C$54+$D$54)</f>
        <v>1.9226190476190477</v>
      </c>
      <c r="I34" s="24">
        <f>($D$54*(C34+D34))/($C$54+$D$54)</f>
        <v>17.077380952380953</v>
      </c>
      <c r="J34" s="24">
        <f>(((C34-H34)^2)/H34)+(((D34-I34)^2)/I34)</f>
        <v>0.49258811227523425</v>
      </c>
      <c r="K34" s="29">
        <f>C34+D34</f>
        <v>19</v>
      </c>
      <c r="L34" s="24">
        <f>C34/K34</f>
        <v>5.2631578947368418E-2</v>
      </c>
      <c r="M34" s="24">
        <f>LOG((C34+0.5)/(D34+0.5))</f>
        <v>-1.0910804693473326</v>
      </c>
      <c r="N34" s="25">
        <f t="shared" si="0"/>
        <v>203.541354484621</v>
      </c>
      <c r="O34" s="24">
        <f t="shared" si="1"/>
        <v>97.688389866137726</v>
      </c>
      <c r="P34" s="24">
        <f>N34*L34</f>
        <v>10.712702867611631</v>
      </c>
      <c r="Q34" s="25">
        <f>$K34/(($C$82*(1-$C$82))+(($K34-1)*($C$82*$C$82)*((1-$C$82)*(1-$C$82))*($B$82*$B$82)))</f>
        <v>204.29252421683091</v>
      </c>
      <c r="R34" s="24">
        <f t="shared" si="3"/>
        <v>98.991413759228749</v>
      </c>
      <c r="S34" s="24">
        <f t="shared" si="4"/>
        <v>10.752238116675311</v>
      </c>
      <c r="T34" s="25">
        <f>$K34/(($C$83*(1-$C$83))+(($K34-1)*($C$83*$C$83)*((1-$C$83)*(1-$C$83))*($B$83*$B$83)))</f>
        <v>205.1118938217885</v>
      </c>
      <c r="U34" s="24">
        <f t="shared" si="5"/>
        <v>99.692917591905555</v>
      </c>
      <c r="V34" s="24">
        <f t="shared" si="6"/>
        <v>10.79536283272571</v>
      </c>
      <c r="W34" s="25">
        <f>$K34/(($C$84*(1-$C$84))+(($K34-1)*($C$84*$C$84)*((1-$C$84)*(1-$C$84))*($B$84*$B$84)))</f>
        <v>205.7534673400572</v>
      </c>
      <c r="X34" s="24">
        <f t="shared" si="7"/>
        <v>100.23955891551802</v>
      </c>
      <c r="Y34" s="24">
        <f t="shared" si="8"/>
        <v>10.829129860003009</v>
      </c>
      <c r="Z34" s="25">
        <f>$K34/(($C$85*(1-$C$85))+(($K34-1)*($C$85*$C$85)*((1-$C$85)*(1-$C$85))*($B$85*$B$85)))</f>
        <v>206.26475816718732</v>
      </c>
      <c r="AA34" s="24">
        <f t="shared" si="9"/>
        <v>100.67417492454915</v>
      </c>
      <c r="AB34" s="24">
        <f t="shared" si="10"/>
        <v>10.856039903536175</v>
      </c>
      <c r="AC34" s="25">
        <f>$K34/(($C$86*(1-$C$86))+(($K34-1)*($C$86*$C$86)*((1-$C$86)*(1-$C$86))*($B$86*$B$86)))</f>
        <v>206.67827285342773</v>
      </c>
      <c r="AD34" s="24">
        <f t="shared" si="11"/>
        <v>101.02502515645722</v>
      </c>
      <c r="AE34" s="24">
        <f t="shared" si="12"/>
        <v>10.877803834390933</v>
      </c>
      <c r="AF34" s="25">
        <f>$K34/(($C$87*(1-$C$87))+(($K34-1)*($C$87*$C$87)*((1-$C$87)*(1-$C$87))*($B$87*$B$87)))</f>
        <v>207.01674186922622</v>
      </c>
      <c r="AG34" s="24">
        <f t="shared" si="13"/>
        <v>101.3117725101479</v>
      </c>
      <c r="AH34" s="24">
        <f t="shared" si="14"/>
        <v>10.895617993117169</v>
      </c>
      <c r="AI34" s="25">
        <f>$K34/(($C$88*(1-$C$88))+(($K34-1)*($C$88*$C$88)*((1-$C$88)*(1-$C$88))*($B$88*$B$88)))</f>
        <v>207.29652737014322</v>
      </c>
      <c r="AJ34" s="24">
        <f t="shared" si="15"/>
        <v>101.54851431131974</v>
      </c>
      <c r="AK34" s="24">
        <f t="shared" si="16"/>
        <v>10.91034354579701</v>
      </c>
      <c r="AL34" s="25">
        <f>$K34/(($C$89*(1-$C$89))+(($K34-1)*($C$89*$C$89)*((1-$C$89)*(1-$C$89))*($B$89*$B$89)))</f>
        <v>207.52970132801062</v>
      </c>
      <c r="AM34" s="24">
        <f t="shared" si="17"/>
        <v>101.74561681023165</v>
      </c>
      <c r="AN34" s="24">
        <f t="shared" si="18"/>
        <v>10.92261585936898</v>
      </c>
      <c r="AO34" s="25">
        <f>$K34/(($C$90*(1-$C$90))+(($K34-1)*($C$90*$C$90)*((1-$C$90)*(1-$C$90))*($B$90*$B$90)))</f>
        <v>207.72536062816516</v>
      </c>
      <c r="AP34" s="24">
        <f t="shared" si="19"/>
        <v>101.91086952261463</v>
      </c>
      <c r="AQ34" s="24">
        <f t="shared" si="20"/>
        <v>10.93291371727185</v>
      </c>
      <c r="AR34" s="25">
        <f>$K34/(($C$91*(1-$C$91))+(($K34-1)*($C$91*$C$91)*((1-$C$91)*(1-$C$91))*($B$91*$B$91)))</f>
        <v>207.89048651793834</v>
      </c>
      <c r="AS34" s="24">
        <f t="shared" si="21"/>
        <v>102.05023602050237</v>
      </c>
      <c r="AT34" s="24">
        <f t="shared" si="22"/>
        <v>10.941604553575702</v>
      </c>
      <c r="AU34" s="25">
        <f>$K34/(($C$92*(1-$C$92))+(($K34-1)*($C$92*$C$92)*((1-$C$92)*(1-$C$92))*($B$92*$B$92)))</f>
        <v>208.03052225794616</v>
      </c>
      <c r="AV34" s="24">
        <f t="shared" si="23"/>
        <v>102.16835649649163</v>
      </c>
      <c r="AW34" s="24">
        <f t="shared" si="24"/>
        <v>10.948974855681376</v>
      </c>
      <c r="AX34" s="25">
        <f>$K34/(($C$93*(1-$C$93))+(($K34-1)*($C$93*$C$93)*((1-$C$93)*(1-$C$93))*($B$93*$B$93)))</f>
        <v>208.14977107844754</v>
      </c>
      <c r="AY34" s="24">
        <f t="shared" si="25"/>
        <v>102.26889277139264</v>
      </c>
      <c r="AZ34" s="24">
        <f t="shared" si="26"/>
        <v>10.955251109391975</v>
      </c>
      <c r="BA34" s="25">
        <f>$K34/(($C$94*(1-$C$94))+(($K34-1)*($C$94*$C$94)*((1-$C$94)*(1-$C$94))*($B$94*$B$94)))</f>
        <v>208.25167641700688</v>
      </c>
      <c r="BB34" s="24">
        <f t="shared" si="27"/>
        <v>102.35477049791835</v>
      </c>
      <c r="BC34" s="24">
        <f t="shared" si="28"/>
        <v>10.96061454826352</v>
      </c>
      <c r="BD34" s="25">
        <f>$K34/(($C$95*(1-$C$95))+(($K34-1)*($C$95*$C$95)*((1-$C$95)*(1-$C$95))*($B$95*$B$95)))</f>
        <v>208.3390231693601</v>
      </c>
      <c r="BE34" s="24">
        <f t="shared" si="29"/>
        <v>102.42835262527558</v>
      </c>
      <c r="BF34" s="24">
        <f t="shared" si="30"/>
        <v>10.965211745755795</v>
      </c>
      <c r="BG34" s="25">
        <f>$K34/(($C$96*(1-$C$96))+(($K34-1)*($C$96*$C$96)*((1-$C$96)*(1-$C$96))*($B$96*$B$96)))</f>
        <v>208.41408479414116</v>
      </c>
      <c r="BH34" s="24">
        <f t="shared" si="31"/>
        <v>102.49156588704822</v>
      </c>
      <c r="BI34" s="24">
        <f t="shared" si="32"/>
        <v>10.969162357586375</v>
      </c>
      <c r="BJ34" s="25">
        <f>$K34/(($C$97*(1-$C$97))+(($K34-1)*($C$97*$C$97)*((1-$C$97)*(1-$C$97))*($B$97*$B$97)))</f>
        <v>208.47873257658841</v>
      </c>
      <c r="BK34" s="24">
        <f t="shared" si="33"/>
        <v>102.5459945480447</v>
      </c>
      <c r="BL34" s="24">
        <f t="shared" si="34"/>
        <v>10.972564872452022</v>
      </c>
      <c r="BM34" s="25">
        <f>$K34/(($C$98*(1-$C$98))+(($K34-1)*($C$98*$C$98)*((1-$C$98)*(1-$C$98))*($B$98*$B$98)))</f>
        <v>208.5345179793936</v>
      </c>
      <c r="BN34" s="24">
        <f t="shared" si="35"/>
        <v>102.59295092227383</v>
      </c>
      <c r="BO34" s="24">
        <f t="shared" si="36"/>
        <v>10.975500946283873</v>
      </c>
      <c r="BP34" s="25">
        <f>$K34/(($C$99*(1-$C$99))+(($K34-1)*($C$99*$C$99)*((1-$C$99)*(1-$C$99))*($B$99*$B$99)))</f>
        <v>208.58273554469986</v>
      </c>
      <c r="BQ34" s="24">
        <f t="shared" si="37"/>
        <v>102.63352914131575</v>
      </c>
      <c r="BR34" s="24">
        <f t="shared" si="38"/>
        <v>10.97803871287894</v>
      </c>
      <c r="BS34" s="49">
        <f>$K34/(($C$100*(1-$C$100))+(($K34-1)*($C$100*$C$100)*((1-$C$100)*(1-$C$100))*($B$100*$B$100)))</f>
        <v>208.62207321941719</v>
      </c>
      <c r="BT34" s="50">
        <f t="shared" si="39"/>
        <v>102.67224514614145</v>
      </c>
      <c r="BU34" s="50">
        <f t="shared" si="40"/>
        <v>10.98010911681143</v>
      </c>
      <c r="BV34" s="49"/>
      <c r="BW34" s="50">
        <f t="shared" si="41"/>
        <v>0.97332852678457515</v>
      </c>
      <c r="BX34" s="24"/>
      <c r="BY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</row>
    <row r="35" spans="1:255" x14ac:dyDescent="0.15">
      <c r="A35" s="111">
        <v>2000</v>
      </c>
      <c r="B35" s="112">
        <v>13.510000000000003</v>
      </c>
      <c r="C35" s="111">
        <v>3</v>
      </c>
      <c r="D35" s="114">
        <f t="shared" si="42"/>
        <v>36</v>
      </c>
      <c r="E35" s="113">
        <f t="shared" si="43"/>
        <v>8.3333333333333329E-2</v>
      </c>
      <c r="F35" s="110">
        <f t="shared" si="44"/>
        <v>21.446784401912495</v>
      </c>
      <c r="G35" s="110">
        <f>IF(C35=0,F35*SQRT((1/(0.5+C35))+(1/(0.5+D35))),F35*SQRT((1/C35)+(1/D35)))</f>
        <v>12.887913475819465</v>
      </c>
      <c r="H35" s="24">
        <f>($C$54*(C35+D35))/($C$54+$D$54)</f>
        <v>3.9464285714285716</v>
      </c>
      <c r="I35" s="24">
        <f>($D$54*(C35+D35))/($C$54+$D$54)</f>
        <v>35.053571428571431</v>
      </c>
      <c r="J35" s="24">
        <f>(((C35-H35)^2)/H35)+(((D35-I35)^2)/I35)</f>
        <v>0.25252464714872191</v>
      </c>
      <c r="K35" s="29">
        <f>C35+D35</f>
        <v>39</v>
      </c>
      <c r="L35" s="24">
        <f>C35/K35</f>
        <v>7.6923076923076927E-2</v>
      </c>
      <c r="M35" s="24">
        <f>LOG((C35+0.5)/(D35+0.5))</f>
        <v>-1.0182248201061992</v>
      </c>
      <c r="N35" s="25">
        <f t="shared" si="0"/>
        <v>406.20970175716923</v>
      </c>
      <c r="O35" s="24">
        <f t="shared" si="1"/>
        <v>97.173323039695575</v>
      </c>
      <c r="P35" s="24">
        <f t="shared" ref="P35:P48" si="45">N35*L35</f>
        <v>31.246900135166864</v>
      </c>
      <c r="Q35" s="25">
        <f>$K35/(($C$82*(1-$C$82))+(($K35-1)*($C$82*$C$82)*((1-$C$82)*(1-$C$82))*($B$82*$B$82)))</f>
        <v>409.84392914473005</v>
      </c>
      <c r="R35" s="24">
        <f t="shared" si="3"/>
        <v>100.08947471172905</v>
      </c>
      <c r="S35" s="24">
        <f t="shared" si="4"/>
        <v>31.526456088056161</v>
      </c>
      <c r="T35" s="25">
        <f>$K35/(($C$83*(1-$C$83))+(($K35-1)*($C$83*$C$83)*((1-$C$83)*(1-$C$83))*($B$83*$B$83)))</f>
        <v>413.16097800110322</v>
      </c>
      <c r="U35" s="24">
        <f t="shared" si="5"/>
        <v>101.52473746749939</v>
      </c>
      <c r="V35" s="24">
        <f t="shared" si="6"/>
        <v>31.781613692392558</v>
      </c>
      <c r="W35" s="25">
        <f>$K35/(($C$84*(1-$C$84))+(($K35-1)*($C$84*$C$84)*((1-$C$84)*(1-$C$84))*($B$84*$B$84)))</f>
        <v>415.77297709668807</v>
      </c>
      <c r="X35" s="24">
        <f t="shared" si="7"/>
        <v>102.65294368791625</v>
      </c>
      <c r="Y35" s="24">
        <f t="shared" si="8"/>
        <v>31.982536699745239</v>
      </c>
      <c r="Z35" s="25">
        <f>$K35/(($C$85*(1-$C$85))+(($K35-1)*($C$85*$C$85)*((1-$C$85)*(1-$C$85))*($B$85*$B$85)))</f>
        <v>417.86449859038362</v>
      </c>
      <c r="AA35" s="24">
        <f t="shared" si="9"/>
        <v>103.55641669566789</v>
      </c>
      <c r="AB35" s="24">
        <f t="shared" si="10"/>
        <v>32.143422968491052</v>
      </c>
      <c r="AC35" s="25">
        <f>$K35/(($C$86*(1-$C$86))+(($K35-1)*($C$86*$C$86)*((1-$C$86)*(1-$C$86))*($B$86*$B$86)))</f>
        <v>419.56254331909383</v>
      </c>
      <c r="AD35" s="24">
        <f t="shared" si="11"/>
        <v>104.2899861654632</v>
      </c>
      <c r="AE35" s="24">
        <f t="shared" si="12"/>
        <v>32.274041793776448</v>
      </c>
      <c r="AF35" s="25">
        <f>$K35/(($C$87*(1-$C$87))+(($K35-1)*($C$87*$C$87)*((1-$C$87)*(1-$C$87))*($B$87*$B$87)))</f>
        <v>420.95676960661092</v>
      </c>
      <c r="AG35" s="24">
        <f t="shared" si="13"/>
        <v>104.89235526816671</v>
      </c>
      <c r="AH35" s="24">
        <f t="shared" si="14"/>
        <v>32.381289969739306</v>
      </c>
      <c r="AI35" s="25">
        <f>$K35/(($C$88*(1-$C$88))+(($K35-1)*($C$88*$C$88)*((1-$C$88)*(1-$C$88))*($B$88*$B$88)))</f>
        <v>422.11223442137776</v>
      </c>
      <c r="AJ35" s="24">
        <f t="shared" si="15"/>
        <v>105.39160804548958</v>
      </c>
      <c r="AK35" s="24">
        <f t="shared" si="16"/>
        <v>32.47017187856752</v>
      </c>
      <c r="AL35" s="25">
        <f>$K35/(($C$89*(1-$C$89))+(($K35-1)*($C$89*$C$89)*((1-$C$89)*(1-$C$89))*($B$89*$B$89)))</f>
        <v>423.07726255290913</v>
      </c>
      <c r="AM35" s="24">
        <f t="shared" si="17"/>
        <v>105.80860683178231</v>
      </c>
      <c r="AN35" s="24">
        <f t="shared" si="18"/>
        <v>32.544404811762242</v>
      </c>
      <c r="AO35" s="25">
        <f>$K35/(($C$90*(1-$C$90))+(($K35-1)*($C$90*$C$90)*((1-$C$90)*(1-$C$90))*($B$90*$B$90)))</f>
        <v>423.88848063366584</v>
      </c>
      <c r="AP35" s="24">
        <f t="shared" si="19"/>
        <v>106.15916508889821</v>
      </c>
      <c r="AQ35" s="24">
        <f t="shared" si="20"/>
        <v>32.606806202589681</v>
      </c>
      <c r="AR35" s="25">
        <f>$K35/(($C$91*(1-$C$91))+(($K35-1)*($C$91*$C$91)*((1-$C$91)*(1-$C$91))*($B$91*$B$91)))</f>
        <v>424.57413762420077</v>
      </c>
      <c r="AS35" s="24">
        <f t="shared" si="21"/>
        <v>106.45548042296521</v>
      </c>
      <c r="AT35" s="24">
        <f t="shared" si="22"/>
        <v>32.659549048015442</v>
      </c>
      <c r="AU35" s="25">
        <f>$K35/(($C$92*(1-$C$92))+(($K35-1)*($C$92*$C$92)*((1-$C$92)*(1-$C$92))*($B$92*$B$92)))</f>
        <v>425.1563545752249</v>
      </c>
      <c r="AV35" s="24">
        <f t="shared" si="23"/>
        <v>106.70710544489664</v>
      </c>
      <c r="AW35" s="24">
        <f t="shared" si="24"/>
        <v>32.704334967324996</v>
      </c>
      <c r="AX35" s="25">
        <f>$K35/(($C$93*(1-$C$93))+(($K35-1)*($C$93*$C$93)*((1-$C$93)*(1-$C$93))*($B$93*$B$93)))</f>
        <v>425.65268549070635</v>
      </c>
      <c r="AY35" s="24">
        <f t="shared" si="25"/>
        <v>106.92162133379965</v>
      </c>
      <c r="AZ35" s="24">
        <f t="shared" si="26"/>
        <v>32.742514268515876</v>
      </c>
      <c r="BA35" s="25">
        <f>$K35/(($C$94*(1-$C$94))+(($K35-1)*($C$94*$C$94)*((1-$C$94)*(1-$C$94))*($B$94*$B$94)))</f>
        <v>426.07722334764469</v>
      </c>
      <c r="BB35" s="24">
        <f t="shared" si="27"/>
        <v>107.10511513123198</v>
      </c>
      <c r="BC35" s="24">
        <f t="shared" si="28"/>
        <v>32.775171026741901</v>
      </c>
      <c r="BD35" s="25">
        <f>$K35/(($C$95*(1-$C$95))+(($K35-1)*($C$95*$C$95)*((1-$C$95)*(1-$C$95))*($B$95*$B$95)))</f>
        <v>426.44139880846069</v>
      </c>
      <c r="BE35" s="24">
        <f t="shared" si="29"/>
        <v>107.26252443610436</v>
      </c>
      <c r="BF35" s="24">
        <f t="shared" si="30"/>
        <v>32.803184523727744</v>
      </c>
      <c r="BG35" s="25">
        <f>$K35/(($C$96*(1-$C$96))+(($K35-1)*($C$96*$C$96)*((1-$C$96)*(1-$C$96))*($B$96*$B$96)))</f>
        <v>426.7545669694357</v>
      </c>
      <c r="BH35" s="24">
        <f t="shared" si="31"/>
        <v>107.3978906407157</v>
      </c>
      <c r="BI35" s="24">
        <f t="shared" si="32"/>
        <v>32.827274382264285</v>
      </c>
      <c r="BJ35" s="25">
        <f>$K35/(($C$97*(1-$C$97))+(($K35-1)*($C$97*$C$97)*((1-$C$97)*(1-$C$97))*($B$97*$B$97)))</f>
        <v>427.0244451520395</v>
      </c>
      <c r="BK35" s="24">
        <f t="shared" si="33"/>
        <v>107.51454789315889</v>
      </c>
      <c r="BL35" s="24">
        <f t="shared" si="34"/>
        <v>32.848034242464578</v>
      </c>
      <c r="BM35" s="25">
        <f>$K35/(($C$98*(1-$C$98))+(($K35-1)*($C$98*$C$98)*((1-$C$98)*(1-$C$98))*($B$98*$B$98)))</f>
        <v>427.25744422274119</v>
      </c>
      <c r="BN35" s="24">
        <f t="shared" si="35"/>
        <v>107.61526611639438</v>
      </c>
      <c r="BO35" s="24">
        <f t="shared" si="36"/>
        <v>32.865957247903168</v>
      </c>
      <c r="BP35" s="25">
        <f>$K35/(($C$99*(1-$C$99))+(($K35-1)*($C$99*$C$99)*((1-$C$99)*(1-$C$99))*($B$99*$B$99)))</f>
        <v>427.45892261824491</v>
      </c>
      <c r="BQ35" s="24">
        <f t="shared" si="37"/>
        <v>107.70236067223061</v>
      </c>
      <c r="BR35" s="24">
        <f t="shared" si="38"/>
        <v>32.881455586018838</v>
      </c>
      <c r="BS35" s="49">
        <f>$K35/(($C$100*(1-$C$100))+(($K35-1)*($C$100*$C$100)*((1-$C$100)*(1-$C$100))*($B$100*$B$100)))</f>
        <v>427.62887668674824</v>
      </c>
      <c r="BT35" s="50">
        <f t="shared" si="39"/>
        <v>107.78802080125534</v>
      </c>
      <c r="BU35" s="50">
        <f t="shared" si="40"/>
        <v>32.894528975903711</v>
      </c>
      <c r="BV35" s="49"/>
      <c r="BW35" s="50">
        <f t="shared" si="41"/>
        <v>1.6641005886756874</v>
      </c>
      <c r="BX35" s="24"/>
      <c r="BY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</row>
    <row r="36" spans="1:255" x14ac:dyDescent="0.15">
      <c r="A36" s="111">
        <v>1600</v>
      </c>
      <c r="B36" s="112">
        <v>13.370000000000003</v>
      </c>
      <c r="C36" s="111">
        <v>5</v>
      </c>
      <c r="D36" s="114">
        <f t="shared" si="42"/>
        <v>29</v>
      </c>
      <c r="E36" s="113">
        <f t="shared" si="43"/>
        <v>0.17241379310344829</v>
      </c>
      <c r="F36" s="110">
        <f t="shared" si="44"/>
        <v>44.294027994878945</v>
      </c>
      <c r="G36" s="110">
        <f>IF(C36=0,F36*SQRT((1/(0.5+C36))+(1/(0.5+D36))),F36*SQRT((1/C36)+(1/D36)))</f>
        <v>21.448683127228641</v>
      </c>
      <c r="H36" s="24">
        <f>($C$54*(C36+D36))/($C$54+$D$54)</f>
        <v>3.4404761904761907</v>
      </c>
      <c r="I36" s="24">
        <f>($D$54*(C36+D36))/($C$54+$D$54)</f>
        <v>30.55952380952381</v>
      </c>
      <c r="J36" s="24">
        <f>(((C36-H36)^2)/H36)+(((D36-I36)^2)/I36)</f>
        <v>0.78649831572675799</v>
      </c>
      <c r="K36" s="29">
        <f>C36+D36</f>
        <v>34</v>
      </c>
      <c r="L36" s="24">
        <f>C36/K36</f>
        <v>0.14705882352941177</v>
      </c>
      <c r="M36" s="24">
        <f>LOG((C36+0.5)/(D36+0.5))</f>
        <v>-0.72945932648391909</v>
      </c>
      <c r="N36" s="25">
        <f t="shared" si="0"/>
        <v>356.60374222659993</v>
      </c>
      <c r="O36" s="24">
        <f t="shared" si="1"/>
        <v>267.54570153483371</v>
      </c>
      <c r="P36" s="24">
        <f t="shared" si="45"/>
        <v>52.441726798029407</v>
      </c>
      <c r="Q36" s="25">
        <f>$K36/(($C$82*(1-$C$82))+(($K36-1)*($C$82*$C$82)*((1-$C$82)*(1-$C$82))*($B$82*$B$82)))</f>
        <v>359.33356967432456</v>
      </c>
      <c r="R36" s="24">
        <f t="shared" si="3"/>
        <v>269.96579317861875</v>
      </c>
      <c r="S36" s="24">
        <f t="shared" si="4"/>
        <v>52.843172010930083</v>
      </c>
      <c r="T36" s="25">
        <f>$K36/(($C$83*(1-$C$83))+(($K36-1)*($C$83*$C$83)*((1-$C$83)*(1-$C$83))*($B$83*$B$83)))</f>
        <v>361.88021316606381</v>
      </c>
      <c r="U36" s="24">
        <f t="shared" si="5"/>
        <v>274.08121195557396</v>
      </c>
      <c r="V36" s="24">
        <f t="shared" si="6"/>
        <v>53.217678406774091</v>
      </c>
      <c r="W36" s="25">
        <f>$K36/(($C$84*(1-$C$84))+(($K36-1)*($C$84*$C$84)*((1-$C$84)*(1-$C$84))*($B$84*$B$84)))</f>
        <v>363.88242927061884</v>
      </c>
      <c r="X36" s="24">
        <f t="shared" si="7"/>
        <v>277.35184074832489</v>
      </c>
      <c r="Y36" s="24">
        <f t="shared" si="8"/>
        <v>53.512121951561596</v>
      </c>
      <c r="Z36" s="25">
        <f>$K36/(($C$85*(1-$C$85))+(($K36-1)*($C$85*$C$85)*((1-$C$85)*(1-$C$85))*($B$85*$B$85)))</f>
        <v>365.4836273392209</v>
      </c>
      <c r="AA36" s="24">
        <f t="shared" si="9"/>
        <v>279.98769220149643</v>
      </c>
      <c r="AB36" s="24">
        <f t="shared" si="10"/>
        <v>53.747592255767785</v>
      </c>
      <c r="AC36" s="25">
        <f>$K36/(($C$86*(1-$C$86))+(($K36-1)*($C$86*$C$86)*((1-$C$86)*(1-$C$86))*($B$86*$B$86)))</f>
        <v>366.78225494446502</v>
      </c>
      <c r="AD36" s="24">
        <f t="shared" si="11"/>
        <v>282.13868951506532</v>
      </c>
      <c r="AE36" s="24">
        <f t="shared" si="12"/>
        <v>53.938566903597803</v>
      </c>
      <c r="AF36" s="25">
        <f>$K36/(($C$87*(1-$C$87))+(($K36-1)*($C$87*$C$87)*((1-$C$87)*(1-$C$87))*($B$87*$B$87)))</f>
        <v>367.84763344381469</v>
      </c>
      <c r="AG36" s="24">
        <f t="shared" si="13"/>
        <v>283.91218530374351</v>
      </c>
      <c r="AH36" s="24">
        <f t="shared" si="14"/>
        <v>54.095240212325692</v>
      </c>
      <c r="AI36" s="25">
        <f>$K36/(($C$88*(1-$C$88))+(($K36-1)*($C$88*$C$88)*((1-$C$88)*(1-$C$88))*($B$88*$B$88)))</f>
        <v>368.72995444603339</v>
      </c>
      <c r="AJ36" s="24">
        <f t="shared" si="15"/>
        <v>285.38698365758268</v>
      </c>
      <c r="AK36" s="24">
        <f t="shared" si="16"/>
        <v>54.224993300887263</v>
      </c>
      <c r="AL36" s="25">
        <f>$K36/(($C$89*(1-$C$89))+(($K36-1)*($C$89*$C$89)*((1-$C$89)*(1-$C$89))*($B$89*$B$89)))</f>
        <v>369.46643242337535</v>
      </c>
      <c r="AM36" s="24">
        <f t="shared" si="17"/>
        <v>286.6221884710971</v>
      </c>
      <c r="AN36" s="24">
        <f t="shared" si="18"/>
        <v>54.333298885790498</v>
      </c>
      <c r="AO36" s="25">
        <f>$K36/(($C$90*(1-$C$90))+(($K36-1)*($C$90*$C$90)*((1-$C$90)*(1-$C$90))*($B$90*$B$90)))</f>
        <v>370.08522905570425</v>
      </c>
      <c r="AP36" s="24">
        <f t="shared" si="19"/>
        <v>287.66296217198607</v>
      </c>
      <c r="AQ36" s="24">
        <f t="shared" si="20"/>
        <v>54.424298390544742</v>
      </c>
      <c r="AR36" s="25">
        <f>$K36/(($C$91*(1-$C$91))+(($K36-1)*($C$91*$C$91)*((1-$C$91)*(1-$C$91))*($B$91*$B$91)))</f>
        <v>370.60803524617927</v>
      </c>
      <c r="AS36" s="24">
        <f t="shared" si="21"/>
        <v>288.54437932913009</v>
      </c>
      <c r="AT36" s="24">
        <f t="shared" si="22"/>
        <v>54.501181653849898</v>
      </c>
      <c r="AU36" s="25">
        <f>$K36/(($C$92*(1-$C$92))+(($K36-1)*($C$92*$C$92)*((1-$C$92)*(1-$C$92))*($B$92*$B$92)))</f>
        <v>371.05181672077822</v>
      </c>
      <c r="AV36" s="24">
        <f t="shared" si="23"/>
        <v>289.29406977672915</v>
      </c>
      <c r="AW36" s="24">
        <f t="shared" si="24"/>
        <v>54.566443635408561</v>
      </c>
      <c r="AX36" s="25">
        <f>$K36/(($C$93*(1-$C$93))+(($K36-1)*($C$93*$C$93)*((1-$C$93)*(1-$C$93))*($B$93*$B$93)))</f>
        <v>371.43002278941015</v>
      </c>
      <c r="AY36" s="24">
        <f t="shared" si="25"/>
        <v>289.934071824456</v>
      </c>
      <c r="AZ36" s="24">
        <f t="shared" si="26"/>
        <v>54.62206217491326</v>
      </c>
      <c r="BA36" s="25">
        <f>$K36/(($C$94*(1-$C$94))+(($K36-1)*($C$94*$C$94)*((1-$C$94)*(1-$C$94))*($B$94*$B$94)))</f>
        <v>371.753441415954</v>
      </c>
      <c r="BB36" s="24">
        <f t="shared" si="27"/>
        <v>290.48215755796463</v>
      </c>
      <c r="BC36" s="24">
        <f t="shared" si="28"/>
        <v>54.669623737640293</v>
      </c>
      <c r="BD36" s="25">
        <f>$K36/(($C$95*(1-$C$95))+(($K36-1)*($C$95*$C$95)*((1-$C$95)*(1-$C$95))*($B$95*$B$95)))</f>
        <v>372.03081577260235</v>
      </c>
      <c r="BE36" s="24">
        <f t="shared" si="29"/>
        <v>290.95279768335331</v>
      </c>
      <c r="BF36" s="24">
        <f t="shared" si="30"/>
        <v>54.710414084206228</v>
      </c>
      <c r="BG36" s="25">
        <f>$K36/(($C$96*(1-$C$96))+(($K36-1)*($C$96*$C$96)*((1-$C$96)*(1-$C$96))*($B$96*$B$96)))</f>
        <v>372.26929655514255</v>
      </c>
      <c r="BH36" s="24">
        <f t="shared" si="31"/>
        <v>291.35787543523395</v>
      </c>
      <c r="BI36" s="24">
        <f t="shared" si="32"/>
        <v>54.745484787520965</v>
      </c>
      <c r="BJ36" s="25">
        <f>$K36/(($C$97*(1-$C$97))+(($K36-1)*($C$97*$C$97)*((1-$C$97)*(1-$C$97))*($B$97*$B$97)))</f>
        <v>372.47477905372028</v>
      </c>
      <c r="BK36" s="24">
        <f t="shared" si="33"/>
        <v>291.70722268628754</v>
      </c>
      <c r="BL36" s="24">
        <f t="shared" si="34"/>
        <v>54.77570280201769</v>
      </c>
      <c r="BM36" s="25">
        <f>$K36/(($C$98*(1-$C$98))+(($K36-1)*($C$98*$C$98)*((1-$C$98)*(1-$C$98))*($B$98*$B$98)))</f>
        <v>372.65215796159509</v>
      </c>
      <c r="BN36" s="24">
        <f t="shared" si="35"/>
        <v>292.00902803397662</v>
      </c>
      <c r="BO36" s="24">
        <f t="shared" si="36"/>
        <v>54.801787935528694</v>
      </c>
      <c r="BP36" s="25">
        <f>$K36/(($C$99*(1-$C$99))+(($K36-1)*($C$99*$C$99)*((1-$C$99)*(1-$C$99))*($B$99*$B$99)))</f>
        <v>372.80552253883593</v>
      </c>
      <c r="BQ36" s="24">
        <f t="shared" si="37"/>
        <v>292.2701513305243</v>
      </c>
      <c r="BR36" s="24">
        <f t="shared" si="38"/>
        <v>54.824341549828816</v>
      </c>
      <c r="BS36" s="49">
        <f>$K36/(($C$100*(1-$C$100))+(($K36-1)*($C$100*$C$100)*((1-$C$100)*(1-$C$100))*($B$100*$B$100)))</f>
        <v>372.93428843063833</v>
      </c>
      <c r="BT36" s="50">
        <f t="shared" si="39"/>
        <v>292.47208463792344</v>
      </c>
      <c r="BU36" s="50">
        <f t="shared" si="40"/>
        <v>54.843277710387994</v>
      </c>
      <c r="BV36" s="49"/>
      <c r="BW36" s="50">
        <f t="shared" si="41"/>
        <v>2.0651164331225833</v>
      </c>
      <c r="BX36" s="24"/>
      <c r="BY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</row>
    <row r="37" spans="1:255" x14ac:dyDescent="0.15">
      <c r="A37" s="111">
        <v>1800</v>
      </c>
      <c r="B37" s="112">
        <v>13.880000000000004</v>
      </c>
      <c r="C37" s="111">
        <v>4</v>
      </c>
      <c r="D37" s="114">
        <f t="shared" si="42"/>
        <v>33</v>
      </c>
      <c r="E37" s="113">
        <f t="shared" si="43"/>
        <v>0.12121212121212122</v>
      </c>
      <c r="F37" s="110">
        <f t="shared" si="44"/>
        <v>31.171785157623699</v>
      </c>
      <c r="G37" s="110">
        <f>IF(C37=0,F37*SQRT((1/(0.5+C37))+(1/(0.5+D37))),F37*SQRT((1/C37)+(1/D37)))</f>
        <v>16.503481502945117</v>
      </c>
      <c r="H37" s="24">
        <f>($C$54*(C37+D37))/($C$54+$D$54)</f>
        <v>3.7440476190476191</v>
      </c>
      <c r="I37" s="24">
        <f>($D$54*(C37+D37))/($C$54+$D$54)</f>
        <v>33.25595238095238</v>
      </c>
      <c r="J37" s="24">
        <f>(((C37-H37)^2)/H37)+(((D37-I37)^2)/I37)</f>
        <v>1.946746122827149E-2</v>
      </c>
      <c r="K37" s="29">
        <f>C37+D37</f>
        <v>37</v>
      </c>
      <c r="L37" s="24">
        <f>C37/K37</f>
        <v>0.10810810810810811</v>
      </c>
      <c r="M37" s="24">
        <f>LOG((C37+0.5)/(D37+0.5))</f>
        <v>-0.87183229326150158</v>
      </c>
      <c r="N37" s="25">
        <f t="shared" si="0"/>
        <v>386.4500835876824</v>
      </c>
      <c r="O37" s="24">
        <f t="shared" si="1"/>
        <v>7.1466367897736882</v>
      </c>
      <c r="P37" s="24">
        <f t="shared" si="45"/>
        <v>41.778387414884584</v>
      </c>
      <c r="Q37" s="25">
        <f>$K37/(($C$82*(1-$C$82))+(($K37-1)*($C$82*$C$82)*((1-$C$82)*(1-$C$82))*($B$82*$B$82)))</f>
        <v>389.70855113639635</v>
      </c>
      <c r="R37" s="24">
        <f t="shared" si="3"/>
        <v>6.9702025906422502</v>
      </c>
      <c r="S37" s="24">
        <f t="shared" si="4"/>
        <v>42.130654176907719</v>
      </c>
      <c r="T37" s="25">
        <f>$K37/(($C$83*(1-$C$83))+(($K37-1)*($C$83*$C$83)*((1-$C$83)*(1-$C$83))*($B$83*$B$83)))</f>
        <v>392.70620768783004</v>
      </c>
      <c r="U37" s="24">
        <f t="shared" si="5"/>
        <v>7.1259464445371927</v>
      </c>
      <c r="V37" s="24">
        <f t="shared" si="6"/>
        <v>42.454725155441089</v>
      </c>
      <c r="W37" s="25">
        <f>$K37/(($C$84*(1-$C$84))+(($K37-1)*($C$84*$C$84)*((1-$C$84)*(1-$C$84))*($B$84*$B$84)))</f>
        <v>395.06521590594411</v>
      </c>
      <c r="X37" s="24">
        <f t="shared" si="7"/>
        <v>7.2520336085876673</v>
      </c>
      <c r="Y37" s="24">
        <f t="shared" si="8"/>
        <v>42.709753070912882</v>
      </c>
      <c r="Z37" s="25">
        <f>$K37/(($C$85*(1-$C$85))+(($K37-1)*($C$85*$C$85)*((1-$C$85)*(1-$C$85))*($B$85*$B$85)))</f>
        <v>396.95318721356358</v>
      </c>
      <c r="AA37" s="24">
        <f t="shared" si="9"/>
        <v>7.3548573362347058</v>
      </c>
      <c r="AB37" s="24">
        <f t="shared" si="10"/>
        <v>42.91385807714201</v>
      </c>
      <c r="AC37" s="25">
        <f>$K37/(($C$86*(1-$C$86))+(($K37-1)*($C$86*$C$86)*((1-$C$86)*(1-$C$86))*($B$86*$B$86)))</f>
        <v>398.4853404350095</v>
      </c>
      <c r="AD37" s="24">
        <f t="shared" si="11"/>
        <v>7.4395549992510634</v>
      </c>
      <c r="AE37" s="24">
        <f t="shared" si="12"/>
        <v>43.079496263244273</v>
      </c>
      <c r="AF37" s="25">
        <f>$K37/(($C$87*(1-$C$87))+(($K37-1)*($C$87*$C$87)*((1-$C$87)*(1-$C$87))*($B$87*$B$87)))</f>
        <v>399.74293157837531</v>
      </c>
      <c r="AG37" s="24">
        <f t="shared" si="13"/>
        <v>7.5099151249306653</v>
      </c>
      <c r="AH37" s="24">
        <f t="shared" si="14"/>
        <v>43.215452062527064</v>
      </c>
      <c r="AI37" s="25">
        <f>$K37/(($C$88*(1-$C$88))+(($K37-1)*($C$88*$C$88)*((1-$C$88)*(1-$C$88))*($B$88*$B$88)))</f>
        <v>400.78486945857628</v>
      </c>
      <c r="AJ37" s="24">
        <f t="shared" si="15"/>
        <v>7.5687845647649956</v>
      </c>
      <c r="AK37" s="24">
        <f t="shared" si="16"/>
        <v>43.328093995521762</v>
      </c>
      <c r="AL37" s="25">
        <f>$K37/(($C$89*(1-$C$89))+(($K37-1)*($C$89*$C$89)*((1-$C$89)*(1-$C$89))*($B$89*$B$89)))</f>
        <v>401.65487968675308</v>
      </c>
      <c r="AM37" s="24">
        <f t="shared" si="17"/>
        <v>7.6183396364860672</v>
      </c>
      <c r="AN37" s="24">
        <f t="shared" si="18"/>
        <v>43.422149155324661</v>
      </c>
      <c r="AO37" s="25">
        <f>$K37/(($C$90*(1-$C$90))+(($K37-1)*($C$90*$C$90)*((1-$C$90)*(1-$C$90))*($B$90*$B$90)))</f>
        <v>402.38608213829076</v>
      </c>
      <c r="AP37" s="24">
        <f t="shared" si="19"/>
        <v>7.6602698460065781</v>
      </c>
      <c r="AQ37" s="24">
        <f t="shared" si="20"/>
        <v>43.50119806900441</v>
      </c>
      <c r="AR37" s="25">
        <f>$K37/(($C$91*(1-$C$91))+(($K37-1)*($C$91*$C$91)*((1-$C$91)*(1-$C$91))*($B$91*$B$91)))</f>
        <v>403.0040072233507</v>
      </c>
      <c r="AS37" s="24">
        <f t="shared" si="21"/>
        <v>7.6959048841029452</v>
      </c>
      <c r="AT37" s="24">
        <f t="shared" si="22"/>
        <v>43.568000780902779</v>
      </c>
      <c r="AU37" s="25">
        <f>$K37/(($C$92*(1-$C$92))+(($K37-1)*($C$92*$C$92)*((1-$C$92)*(1-$C$92))*($B$92*$B$92)))</f>
        <v>403.52863773022415</v>
      </c>
      <c r="AV37" s="24">
        <f t="shared" si="23"/>
        <v>7.7263040927425388</v>
      </c>
      <c r="AW37" s="24">
        <f t="shared" si="24"/>
        <v>43.624717592456669</v>
      </c>
      <c r="AX37" s="25">
        <f>$K37/(($C$93*(1-$C$93))+(($K37-1)*($C$93*$C$93)*((1-$C$93)*(1-$C$93))*($B$93*$B$93)))</f>
        <v>403.97582434155413</v>
      </c>
      <c r="AY37" s="24">
        <f t="shared" si="25"/>
        <v>7.7523206199866577</v>
      </c>
      <c r="AZ37" s="24">
        <f t="shared" si="26"/>
        <v>43.673062090978824</v>
      </c>
      <c r="BA37" s="25">
        <f>$K37/(($C$94*(1-$C$94))+(($K37-1)*($C$94*$C$94)*((1-$C$94)*(1-$C$94))*($B$94*$B$94)))</f>
        <v>404.35828797561896</v>
      </c>
      <c r="BB37" s="24">
        <f t="shared" si="27"/>
        <v>7.7746481887528081</v>
      </c>
      <c r="BC37" s="24">
        <f t="shared" si="28"/>
        <v>43.714409510877729</v>
      </c>
      <c r="BD37" s="25">
        <f>$K37/(($C$95*(1-$C$95))+(($K37-1)*($C$95*$C$95)*((1-$C$95)*(1-$C$95))*($B$95*$B$95)))</f>
        <v>404.68634318496947</v>
      </c>
      <c r="BE37" s="24">
        <f t="shared" si="29"/>
        <v>7.7938557156449288</v>
      </c>
      <c r="BF37" s="24">
        <f t="shared" si="30"/>
        <v>43.749874938915625</v>
      </c>
      <c r="BG37" s="25">
        <f>$K37/(($C$96*(1-$C$96))+(($K37-1)*($C$96*$C$96)*((1-$C$96)*(1-$C$96))*($B$96*$B$96)))</f>
        <v>404.9684292859597</v>
      </c>
      <c r="BH37" s="24">
        <f t="shared" si="31"/>
        <v>7.8104133011736376</v>
      </c>
      <c r="BI37" s="24">
        <f t="shared" si="32"/>
        <v>43.780370733617268</v>
      </c>
      <c r="BJ37" s="25">
        <f>$K37/(($C$97*(1-$C$97))+(($K37-1)*($C$97*$C$97)*((1-$C$97)*(1-$C$97))*($B$97*$B$97)))</f>
        <v>405.21150645394624</v>
      </c>
      <c r="BK37" s="24">
        <f t="shared" si="33"/>
        <v>7.8247119993335055</v>
      </c>
      <c r="BL37" s="24">
        <f t="shared" si="34"/>
        <v>43.806649346372566</v>
      </c>
      <c r="BM37" s="25">
        <f>$K37/(($C$98*(1-$C$98))+(($K37-1)*($C$98*$C$98)*((1-$C$98)*(1-$C$98))*($B$98*$B$98)))</f>
        <v>405.4213553518905</v>
      </c>
      <c r="BN37" s="24">
        <f t="shared" si="35"/>
        <v>7.8370790392078087</v>
      </c>
      <c r="BO37" s="24">
        <f t="shared" si="36"/>
        <v>43.829335713717896</v>
      </c>
      <c r="BP37" s="25">
        <f>$K37/(($C$99*(1-$C$99))+(($K37-1)*($C$99*$C$99)*((1-$C$99)*(1-$C$99))*($B$99*$B$99)))</f>
        <v>405.60280676277659</v>
      </c>
      <c r="BQ37" s="24">
        <f t="shared" si="37"/>
        <v>7.8477896776557667</v>
      </c>
      <c r="BR37" s="24">
        <f t="shared" si="38"/>
        <v>43.84895208246234</v>
      </c>
      <c r="BS37" s="49">
        <f>$K37/(($C$100*(1-$C$100))+(($K37-1)*($C$100*$C$100)*((1-$C$100)*(1-$C$100))*($B$100*$B$100)))</f>
        <v>405.755604675124</v>
      </c>
      <c r="BT37" s="50">
        <f t="shared" si="39"/>
        <v>7.8537035999733247</v>
      </c>
      <c r="BU37" s="50">
        <f t="shared" si="40"/>
        <v>43.865470775689083</v>
      </c>
      <c r="BV37" s="49"/>
      <c r="BW37" s="50">
        <f t="shared" si="41"/>
        <v>1.8888005632060703</v>
      </c>
      <c r="BX37" s="24"/>
      <c r="BY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</row>
    <row r="38" spans="1:255" x14ac:dyDescent="0.15">
      <c r="A38" s="111">
        <v>1000</v>
      </c>
      <c r="B38" s="112">
        <v>15.890000000000006</v>
      </c>
      <c r="C38" s="111">
        <v>1</v>
      </c>
      <c r="D38" s="114">
        <f t="shared" si="42"/>
        <v>21</v>
      </c>
      <c r="E38" s="113">
        <f t="shared" si="43"/>
        <v>4.7619047619047616E-2</v>
      </c>
      <c r="F38" s="110">
        <f t="shared" si="44"/>
        <v>12.264040964485798</v>
      </c>
      <c r="G38" s="110">
        <f>IF(C38=0,F38*SQRT((1/(0.5+C38))+(1/(0.5+D38))),F38*SQRT((1/C38)+(1/D38)))</f>
        <v>12.552646120447475</v>
      </c>
      <c r="H38" s="24">
        <f>($C$54*(C38+D38))/($C$54+$D$54)</f>
        <v>2.2261904761904763</v>
      </c>
      <c r="I38" s="24">
        <f>($D$54*(C38+D38))/($C$54+$D$54)</f>
        <v>19.773809523809526</v>
      </c>
      <c r="J38" s="24">
        <f>(((C38-H38)^2)/H38)+(((D38-I38)^2)/I38)</f>
        <v>0.75142543471331935</v>
      </c>
      <c r="K38" s="29">
        <f>C38+D38</f>
        <v>22</v>
      </c>
      <c r="L38" s="24">
        <f>C38/K38</f>
        <v>4.5454545454545456E-2</v>
      </c>
      <c r="M38" s="24">
        <f>LOG((C38+0.5)/(D38+0.5))</f>
        <v>-1.156347200859924</v>
      </c>
      <c r="N38" s="25">
        <f t="shared" si="0"/>
        <v>234.67546862454543</v>
      </c>
      <c r="O38" s="24">
        <f t="shared" si="1"/>
        <v>171.08262420885495</v>
      </c>
      <c r="P38" s="24">
        <f t="shared" si="45"/>
        <v>10.667066755661157</v>
      </c>
      <c r="Q38" s="25">
        <f>$K38/(($C$82*(1-$C$82))+(($K38-1)*($C$82*$C$82)*((1-$C$82)*(1-$C$82))*($B$82*$B$82)))</f>
        <v>235.7301935039365</v>
      </c>
      <c r="R38" s="24">
        <f t="shared" si="3"/>
        <v>173.51111963781622</v>
      </c>
      <c r="S38" s="24">
        <f t="shared" si="4"/>
        <v>10.715008795633478</v>
      </c>
      <c r="T38" s="25">
        <f>$K38/(($C$83*(1-$C$83))+(($K38-1)*($C$83*$C$83)*((1-$C$83)*(1-$C$83))*($B$83*$B$83)))</f>
        <v>236.82234102003471</v>
      </c>
      <c r="U38" s="24">
        <f t="shared" si="5"/>
        <v>174.97859770339863</v>
      </c>
      <c r="V38" s="24">
        <f t="shared" si="6"/>
        <v>10.764651864547032</v>
      </c>
      <c r="W38" s="25">
        <f>$K38/(($C$84*(1-$C$84))+(($K38-1)*($C$84*$C$84)*((1-$C$84)*(1-$C$84))*($B$84*$B$84)))</f>
        <v>237.67808511600535</v>
      </c>
      <c r="X38" s="24">
        <f t="shared" si="7"/>
        <v>176.12600634677864</v>
      </c>
      <c r="Y38" s="24">
        <f t="shared" si="8"/>
        <v>10.803549323454789</v>
      </c>
      <c r="Z38" s="25">
        <f>$K38/(($C$85*(1-$C$85))+(($K38-1)*($C$85*$C$85)*((1-$C$85)*(1-$C$85))*($B$85*$B$85)))</f>
        <v>238.36047524638067</v>
      </c>
      <c r="AA38" s="24">
        <f t="shared" si="9"/>
        <v>177.04043621606229</v>
      </c>
      <c r="AB38" s="24">
        <f t="shared" si="10"/>
        <v>10.834567056653666</v>
      </c>
      <c r="AC38" s="25">
        <f>$K38/(($C$86*(1-$C$86))+(($K38-1)*($C$86*$C$86)*((1-$C$86)*(1-$C$86))*($B$86*$B$86)))</f>
        <v>238.91264245426376</v>
      </c>
      <c r="AD38" s="24">
        <f t="shared" si="11"/>
        <v>177.780024210005</v>
      </c>
      <c r="AE38" s="24">
        <f t="shared" si="12"/>
        <v>10.859665566102899</v>
      </c>
      <c r="AF38" s="25">
        <f>$K38/(($C$87*(1-$C$87))+(($K38-1)*($C$87*$C$87)*((1-$C$87)*(1-$C$87))*($B$87*$B$87)))</f>
        <v>239.36478323644567</v>
      </c>
      <c r="AG38" s="24">
        <f t="shared" si="13"/>
        <v>178.38541503465498</v>
      </c>
      <c r="AH38" s="24">
        <f t="shared" si="14"/>
        <v>10.88021741983844</v>
      </c>
      <c r="AI38" s="25">
        <f>$K38/(($C$88*(1-$C$88))+(($K38-1)*($C$88*$C$88)*((1-$C$88)*(1-$C$88))*($B$88*$B$88)))</f>
        <v>239.73865626465579</v>
      </c>
      <c r="AJ38" s="24">
        <f t="shared" si="15"/>
        <v>178.8858642632031</v>
      </c>
      <c r="AK38" s="24">
        <f t="shared" si="16"/>
        <v>10.897211648393446</v>
      </c>
      <c r="AL38" s="25">
        <f>$K38/(($C$89*(1-$C$89))+(($K38-1)*($C$89*$C$89)*((1-$C$89)*(1-$C$89))*($B$89*$B$89)))</f>
        <v>240.05032894677862</v>
      </c>
      <c r="AM38" s="24">
        <f t="shared" si="17"/>
        <v>179.30295626142441</v>
      </c>
      <c r="AN38" s="24">
        <f t="shared" si="18"/>
        <v>10.911378588489937</v>
      </c>
      <c r="AO38" s="25">
        <f>$K38/(($C$90*(1-$C$90))+(($K38-1)*($C$90*$C$90)*((1-$C$90)*(1-$C$90))*($B$90*$B$90)))</f>
        <v>240.31191790887891</v>
      </c>
      <c r="AP38" s="24">
        <f t="shared" si="19"/>
        <v>179.65295623635598</v>
      </c>
      <c r="AQ38" s="24">
        <f t="shared" si="20"/>
        <v>10.923268995858132</v>
      </c>
      <c r="AR38" s="25">
        <f>$K38/(($C$91*(1-$C$91))+(($K38-1)*($C$91*$C$91)*((1-$C$91)*(1-$C$91))*($B$91*$B$91)))</f>
        <v>240.53272777981252</v>
      </c>
      <c r="AS38" s="24">
        <f t="shared" si="21"/>
        <v>179.94834703266488</v>
      </c>
      <c r="AT38" s="24">
        <f t="shared" si="22"/>
        <v>10.933305808173296</v>
      </c>
      <c r="AU38" s="25">
        <f>$K38/(($C$92*(1-$C$92))+(($K38-1)*($C$92*$C$92)*((1-$C$92)*(1-$C$92))*($B$92*$B$92)))</f>
        <v>240.72001736974178</v>
      </c>
      <c r="AV38" s="24">
        <f t="shared" si="23"/>
        <v>180.19886190187873</v>
      </c>
      <c r="AW38" s="24">
        <f t="shared" si="24"/>
        <v>10.9418189713519</v>
      </c>
      <c r="AX38" s="25">
        <f>$K38/(($C$93*(1-$C$93))+(($K38-1)*($C$93*$C$93)*((1-$C$93)*(1-$C$93))*($B$93*$B$93)))</f>
        <v>240.87952797881701</v>
      </c>
      <c r="AY38" s="24">
        <f t="shared" si="25"/>
        <v>180.4121959413437</v>
      </c>
      <c r="AZ38" s="24">
        <f t="shared" si="26"/>
        <v>10.949069453582592</v>
      </c>
      <c r="BA38" s="25">
        <f>$K38/(($C$94*(1-$C$94))+(($K38-1)*($C$94*$C$94)*((1-$C$94)*(1-$C$94))*($B$94*$B$94)))</f>
        <v>241.01585572237951</v>
      </c>
      <c r="BB38" s="24">
        <f t="shared" si="27"/>
        <v>180.59450706263033</v>
      </c>
      <c r="BC38" s="24">
        <f t="shared" si="28"/>
        <v>10.955266169199069</v>
      </c>
      <c r="BD38" s="25">
        <f>$K38/(($C$95*(1-$C$95))+(($K38-1)*($C$95*$C$95)*((1-$C$95)*(1-$C$95))*($B$95*$B$95)))</f>
        <v>241.13271910288691</v>
      </c>
      <c r="BE38" s="24">
        <f t="shared" si="29"/>
        <v>180.75077575376778</v>
      </c>
      <c r="BF38" s="24">
        <f t="shared" si="30"/>
        <v>10.960578141040314</v>
      </c>
      <c r="BG38" s="25">
        <f>$K38/(($C$96*(1-$C$96))+(($K38-1)*($C$96*$C$96)*((1-$C$96)*(1-$C$96))*($B$96*$B$96)))</f>
        <v>241.23315471649491</v>
      </c>
      <c r="BH38" s="24">
        <f t="shared" si="31"/>
        <v>180.88506804994407</v>
      </c>
      <c r="BI38" s="24">
        <f t="shared" si="32"/>
        <v>10.965143396204315</v>
      </c>
      <c r="BJ38" s="25">
        <f>$K38/(($C$97*(1-$C$97))+(($K38-1)*($C$97*$C$97)*((1-$C$97)*(1-$C$97))*($B$97*$B$97)))</f>
        <v>241.31966269999509</v>
      </c>
      <c r="BK38" s="24">
        <f t="shared" si="33"/>
        <v>181.00073086224029</v>
      </c>
      <c r="BL38" s="24">
        <f t="shared" si="34"/>
        <v>10.969075577272504</v>
      </c>
      <c r="BM38" s="25">
        <f>$K38/(($C$98*(1-$C$98))+(($K38-1)*($C$98*$C$98)*((1-$C$98)*(1-$C$98))*($B$98*$B$98)))</f>
        <v>241.39431640996466</v>
      </c>
      <c r="BN38" s="24">
        <f t="shared" si="35"/>
        <v>181.10053919953066</v>
      </c>
      <c r="BO38" s="24">
        <f t="shared" si="36"/>
        <v>10.972468927725666</v>
      </c>
      <c r="BP38" s="25">
        <f>$K38/(($C$99*(1-$C$99))+(($K38-1)*($C$99*$C$99)*((1-$C$99)*(1-$C$99))*($B$99*$B$99)))</f>
        <v>241.45884623900264</v>
      </c>
      <c r="BQ38" s="24">
        <f t="shared" si="37"/>
        <v>181.1868086254203</v>
      </c>
      <c r="BR38" s="24">
        <f t="shared" si="38"/>
        <v>10.975402101772847</v>
      </c>
      <c r="BS38" s="49">
        <f>$K38/(($C$100*(1-$C$100))+(($K38-1)*($C$100*$C$100)*((1-$C$100)*(1-$C$100))*($B$100*$B$100)))</f>
        <v>241.51196275085223</v>
      </c>
      <c r="BT38" s="50">
        <f t="shared" si="39"/>
        <v>181.26653293430468</v>
      </c>
      <c r="BU38" s="50">
        <f t="shared" si="40"/>
        <v>10.977816488675101</v>
      </c>
      <c r="BV38" s="49"/>
      <c r="BW38" s="50">
        <f t="shared" si="41"/>
        <v>0.97700842091839446</v>
      </c>
      <c r="BX38" s="24"/>
      <c r="BY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</row>
    <row r="39" spans="1:255" x14ac:dyDescent="0.15">
      <c r="A39" s="111">
        <v>3600</v>
      </c>
      <c r="B39" s="112">
        <v>8.2805011925607523</v>
      </c>
      <c r="C39" s="111">
        <v>5</v>
      </c>
      <c r="D39" s="114">
        <f t="shared" si="42"/>
        <v>40</v>
      </c>
      <c r="E39" s="113">
        <f t="shared" si="43"/>
        <v>0.125</v>
      </c>
      <c r="F39" s="110">
        <f t="shared" si="44"/>
        <v>32.143478812322677</v>
      </c>
      <c r="G39" s="110">
        <f>IF(C39=0,F39*SQRT((1/(0.5+C39))+(1/(0.5+D39))),F39*SQRT((1/C39)+(1/D39)))</f>
        <v>15.246990745245544</v>
      </c>
      <c r="H39" s="24">
        <f>($C$54*(C39+D39))/($C$54+$D$54)</f>
        <v>4.5535714285714288</v>
      </c>
      <c r="I39" s="24">
        <f>($D$54*(C39+D39))/($C$54+$D$54)</f>
        <v>40.446428571428569</v>
      </c>
      <c r="J39" s="24">
        <f>(((C39-H39)^2)/H39)+(((D39-I39)^2)/I39)</f>
        <v>4.8694974678613064E-2</v>
      </c>
      <c r="K39" s="29">
        <f>C39+D39</f>
        <v>45</v>
      </c>
      <c r="L39" s="24">
        <f>C39/K39</f>
        <v>0.1111111111111111</v>
      </c>
      <c r="M39" s="24">
        <f>LOG((C39+0.5)/(D39+0.5))</f>
        <v>-0.86709233372042471</v>
      </c>
      <c r="N39" s="25">
        <f t="shared" si="0"/>
        <v>464.83644641839726</v>
      </c>
      <c r="O39" s="24">
        <f t="shared" si="1"/>
        <v>21.265680303493006</v>
      </c>
      <c r="P39" s="24">
        <f t="shared" si="45"/>
        <v>51.64849404648858</v>
      </c>
      <c r="Q39" s="25">
        <f>$K39/(($C$82*(1-$C$82))+(($K39-1)*($C$82*$C$82)*((1-$C$82)*(1-$C$82))*($B$82*$B$82)))</f>
        <v>469.7067405782056</v>
      </c>
      <c r="R39" s="24">
        <f t="shared" si="3"/>
        <v>21.091970143516299</v>
      </c>
      <c r="S39" s="24">
        <f t="shared" si="4"/>
        <v>52.18963784202284</v>
      </c>
      <c r="T39" s="25">
        <f>$K39/(($C$83*(1-$C$83))+(($K39-1)*($C$83*$C$83)*((1-$C$83)*(1-$C$83))*($B$83*$B$83)))</f>
        <v>474.06970274493597</v>
      </c>
      <c r="U39" s="24">
        <f t="shared" si="5"/>
        <v>21.586741508167737</v>
      </c>
      <c r="V39" s="24">
        <f t="shared" si="6"/>
        <v>52.674411416103993</v>
      </c>
      <c r="W39" s="25">
        <f>$K39/(($C$84*(1-$C$84))+(($K39-1)*($C$84*$C$84)*((1-$C$84)*(1-$C$84))*($B$84*$B$84)))</f>
        <v>477.51189512882627</v>
      </c>
      <c r="X39" s="24">
        <f t="shared" si="7"/>
        <v>21.986036672948234</v>
      </c>
      <c r="Y39" s="24">
        <f t="shared" si="8"/>
        <v>53.056877236536252</v>
      </c>
      <c r="Z39" s="25">
        <f>$K39/(($C$85*(1-$C$85))+(($K39-1)*($C$85*$C$85)*((1-$C$85)*(1-$C$85))*($B$85*$B$85)))</f>
        <v>480.27248114914363</v>
      </c>
      <c r="AA39" s="24">
        <f t="shared" si="9"/>
        <v>22.311273790296376</v>
      </c>
      <c r="AB39" s="24">
        <f t="shared" si="10"/>
        <v>53.363609016571509</v>
      </c>
      <c r="AC39" s="25">
        <f>$K39/(($C$86*(1-$C$86))+(($K39-1)*($C$86*$C$86)*((1-$C$86)*(1-$C$86))*($B$86*$B$86)))</f>
        <v>482.51653833142467</v>
      </c>
      <c r="AD39" s="24">
        <f t="shared" si="11"/>
        <v>22.57894378167024</v>
      </c>
      <c r="AE39" s="24">
        <f t="shared" si="12"/>
        <v>53.612948703491625</v>
      </c>
      <c r="AF39" s="25">
        <f>$K39/(($C$87*(1-$C$87))+(($K39-1)*($C$87*$C$87)*((1-$C$87)*(1-$C$87))*($B$87*$B$87)))</f>
        <v>484.36097518155452</v>
      </c>
      <c r="AG39" s="24">
        <f t="shared" si="13"/>
        <v>22.80115667167459</v>
      </c>
      <c r="AH39" s="24">
        <f t="shared" si="14"/>
        <v>53.817886131283835</v>
      </c>
      <c r="AI39" s="25">
        <f>$K39/(($C$88*(1-$C$88))+(($K39-1)*($C$88*$C$88)*((1-$C$88)*(1-$C$88))*($B$88*$B$88)))</f>
        <v>485.89084681147654</v>
      </c>
      <c r="AJ39" s="24">
        <f t="shared" si="15"/>
        <v>22.986985152845943</v>
      </c>
      <c r="AK39" s="24">
        <f t="shared" si="16"/>
        <v>53.987871867941834</v>
      </c>
      <c r="AL39" s="25">
        <f>$K39/(($C$89*(1-$C$89))+(($K39-1)*($C$89*$C$89)*((1-$C$89)*(1-$C$89))*($B$89*$B$89)))</f>
        <v>487.16947487276758</v>
      </c>
      <c r="AM39" s="24">
        <f t="shared" si="17"/>
        <v>23.143349423167695</v>
      </c>
      <c r="AN39" s="24">
        <f t="shared" si="18"/>
        <v>54.12994165252973</v>
      </c>
      <c r="AO39" s="25">
        <f>$K39/(($C$90*(1-$C$90))+(($K39-1)*($C$90*$C$90)*((1-$C$90)*(1-$C$90))*($B$90*$B$90)))</f>
        <v>488.24494487936448</v>
      </c>
      <c r="AP39" s="24">
        <f t="shared" si="19"/>
        <v>23.275612483592806</v>
      </c>
      <c r="AQ39" s="24">
        <f t="shared" si="20"/>
        <v>54.249438319929382</v>
      </c>
      <c r="AR39" s="25">
        <f>$K39/(($C$91*(1-$C$91))+(($K39-1)*($C$91*$C$91)*((1-$C$91)*(1-$C$91))*($B$91*$B$91)))</f>
        <v>489.15440520468411</v>
      </c>
      <c r="AS39" s="24">
        <f t="shared" si="21"/>
        <v>23.387989485846671</v>
      </c>
      <c r="AT39" s="24">
        <f t="shared" si="22"/>
        <v>54.350489467187117</v>
      </c>
      <c r="AU39" s="25">
        <f>$K39/(($C$92*(1-$C$92))+(($K39-1)*($C$92*$C$92)*((1-$C$92)*(1-$C$92))*($B$92*$B$92)))</f>
        <v>489.92698767095249</v>
      </c>
      <c r="AV39" s="24">
        <f t="shared" si="23"/>
        <v>23.483834966756202</v>
      </c>
      <c r="AW39" s="24">
        <f t="shared" si="24"/>
        <v>54.436331963439159</v>
      </c>
      <c r="AX39" s="25">
        <f>$K39/(($C$93*(1-$C$93))+(($K39-1)*($C$93*$C$93)*((1-$C$93)*(1-$C$93))*($B$93*$B$93)))</f>
        <v>490.58583861356846</v>
      </c>
      <c r="AY39" s="24">
        <f t="shared" si="25"/>
        <v>23.565848184864326</v>
      </c>
      <c r="AZ39" s="24">
        <f t="shared" si="26"/>
        <v>54.509537623729827</v>
      </c>
      <c r="BA39" s="25">
        <f>$K39/(($C$94*(1-$C$94))+(($K39-1)*($C$94*$C$94)*((1-$C$94)*(1-$C$94))*($B$94*$B$94)))</f>
        <v>491.14956109484865</v>
      </c>
      <c r="BB39" s="24">
        <f t="shared" si="27"/>
        <v>23.636222443869659</v>
      </c>
      <c r="BC39" s="24">
        <f t="shared" si="28"/>
        <v>54.572173454983179</v>
      </c>
      <c r="BD39" s="25">
        <f>$K39/(($C$95*(1-$C$95))+(($K39-1)*($C$95*$C$95)*((1-$C$95)*(1-$C$95))*($B$95*$B$95)))</f>
        <v>491.63325834540495</v>
      </c>
      <c r="BE39" s="24">
        <f t="shared" si="29"/>
        <v>23.696755404908924</v>
      </c>
      <c r="BF39" s="24">
        <f t="shared" si="30"/>
        <v>54.625917593933877</v>
      </c>
      <c r="BG39" s="25">
        <f>$K39/(($C$96*(1-$C$96))+(($K39-1)*($C$96*$C$96)*((1-$C$96)*(1-$C$96))*($B$96*$B$96)))</f>
        <v>492.04930158362635</v>
      </c>
      <c r="BH39" s="24">
        <f t="shared" si="31"/>
        <v>23.74893176929633</v>
      </c>
      <c r="BI39" s="24">
        <f t="shared" si="32"/>
        <v>54.672144620402925</v>
      </c>
      <c r="BJ39" s="25">
        <f>$K39/(($C$97*(1-$C$97))+(($K39-1)*($C$97*$C$97)*((1-$C$97)*(1-$C$97))*($B$97*$B$97)))</f>
        <v>492.40790378160955</v>
      </c>
      <c r="BK39" s="24">
        <f t="shared" si="33"/>
        <v>23.793986086462972</v>
      </c>
      <c r="BL39" s="24">
        <f t="shared" si="34"/>
        <v>54.711989309067725</v>
      </c>
      <c r="BM39" s="25">
        <f>$K39/(($C$98*(1-$C$98))+(($K39-1)*($C$98*$C$98)*((1-$C$98)*(1-$C$98))*($B$98*$B$98)))</f>
        <v>492.71755449153898</v>
      </c>
      <c r="BN39" s="24">
        <f t="shared" si="35"/>
        <v>23.832951057955363</v>
      </c>
      <c r="BO39" s="24">
        <f t="shared" si="36"/>
        <v>54.746394943504328</v>
      </c>
      <c r="BP39" s="25">
        <f>$K39/(($C$99*(1-$C$99))+(($K39-1)*($C$99*$C$99)*((1-$C$99)*(1-$C$99))*($B$99*$B$99)))</f>
        <v>492.98535365175462</v>
      </c>
      <c r="BQ39" s="24">
        <f t="shared" si="37"/>
        <v>23.866695114198301</v>
      </c>
      <c r="BR39" s="24">
        <f t="shared" si="38"/>
        <v>54.776150405750514</v>
      </c>
      <c r="BS39" s="49">
        <f>$K39/(($C$100*(1-$C$100))+(($K39-1)*($C$100*$C$100)*((1-$C$100)*(1-$C$100))*($B$100*$B$100)))</f>
        <v>493.21221429941113</v>
      </c>
      <c r="BT39" s="50">
        <f t="shared" si="39"/>
        <v>23.888665988854036</v>
      </c>
      <c r="BU39" s="50">
        <f t="shared" si="40"/>
        <v>54.801357144379011</v>
      </c>
      <c r="BV39" s="49"/>
      <c r="BW39" s="50">
        <f t="shared" si="41"/>
        <v>2.1081851067789197</v>
      </c>
      <c r="BX39" s="24"/>
      <c r="BY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</row>
    <row r="40" spans="1:255" x14ac:dyDescent="0.15">
      <c r="A40" s="111">
        <v>1200</v>
      </c>
      <c r="B40" s="112">
        <v>7.2800000000000011</v>
      </c>
      <c r="C40" s="111">
        <v>1</v>
      </c>
      <c r="D40" s="114">
        <f t="shared" si="42"/>
        <v>12</v>
      </c>
      <c r="E40" s="113">
        <f t="shared" si="43"/>
        <v>8.3333333333333329E-2</v>
      </c>
      <c r="F40" s="110">
        <f t="shared" si="44"/>
        <v>21.446784401912495</v>
      </c>
      <c r="G40" s="110">
        <f>IF(C40=0,F40*SQRT((1/(0.5+C40))+(1/(0.5+D40))),F40*SQRT((1/C40)+(1/D40)))</f>
        <v>22.32252094367092</v>
      </c>
      <c r="H40" s="24">
        <f>($C$54*(C40+D40))/($C$54+$D$54)</f>
        <v>1.3154761904761905</v>
      </c>
      <c r="I40" s="24">
        <f>($D$54*(C40+D40))/($C$54+$D$54)</f>
        <v>11.68452380952381</v>
      </c>
      <c r="J40" s="24">
        <f>(((C40-H40)^2)/H40)+(((D40-I40)^2)/I40)</f>
        <v>8.4174882382907268E-2</v>
      </c>
      <c r="K40" s="29">
        <f>C40+D40</f>
        <v>13</v>
      </c>
      <c r="L40" s="24">
        <f>C40/K40</f>
        <v>7.6923076923076927E-2</v>
      </c>
      <c r="M40" s="24">
        <f>LOG((C40+0.5)/(D40+0.5))</f>
        <v>-0.92081875395237522</v>
      </c>
      <c r="N40" s="25">
        <f t="shared" si="0"/>
        <v>140.46703646044045</v>
      </c>
      <c r="O40" s="24">
        <f t="shared" si="1"/>
        <v>11.619710579214169</v>
      </c>
      <c r="P40" s="24">
        <f t="shared" si="45"/>
        <v>10.805156650803113</v>
      </c>
      <c r="Q40" s="25">
        <f>$K40/(($C$82*(1-$C$82))+(($K40-1)*($C$82*$C$82)*((1-$C$82)*(1-$C$82))*($B$82*$B$82)))</f>
        <v>140.75721802864848</v>
      </c>
      <c r="R40" s="24">
        <f t="shared" si="3"/>
        <v>11.805727280715654</v>
      </c>
      <c r="S40" s="24">
        <f t="shared" si="4"/>
        <v>10.827478309896037</v>
      </c>
      <c r="T40" s="25">
        <f>$K40/(($C$83*(1-$C$83))+(($K40-1)*($C$83*$C$83)*((1-$C$83)*(1-$C$83))*($B$83*$B$83)))</f>
        <v>141.1450753212429</v>
      </c>
      <c r="U40" s="24">
        <f t="shared" si="5"/>
        <v>11.848537330938788</v>
      </c>
      <c r="V40" s="24">
        <f t="shared" si="6"/>
        <v>10.857313486249454</v>
      </c>
      <c r="W40" s="25">
        <f>$K40/(($C$84*(1-$C$84))+(($K40-1)*($C$84*$C$84)*((1-$C$84)*(1-$C$84))*($B$84*$B$84)))</f>
        <v>141.4485290180651</v>
      </c>
      <c r="X40" s="24">
        <f t="shared" si="7"/>
        <v>11.881075622359248</v>
      </c>
      <c r="Y40" s="24">
        <f t="shared" si="8"/>
        <v>10.8806560783127</v>
      </c>
      <c r="Z40" s="25">
        <f>$K40/(($C$85*(1-$C$85))+(($K40-1)*($C$85*$C$85)*((1-$C$85)*(1-$C$85))*($B$85*$B$85)))</f>
        <v>141.69014539536494</v>
      </c>
      <c r="AA40" s="24">
        <f t="shared" si="9"/>
        <v>11.90653397140674</v>
      </c>
      <c r="AB40" s="24">
        <f t="shared" si="10"/>
        <v>10.899241953489611</v>
      </c>
      <c r="AC40" s="25">
        <f>$K40/(($C$86*(1-$C$86))+(($K40-1)*($C$86*$C$86)*((1-$C$86)*(1-$C$86))*($B$86*$B$86)))</f>
        <v>141.88541577574443</v>
      </c>
      <c r="AD40" s="24">
        <f t="shared" si="11"/>
        <v>11.926821112900234</v>
      </c>
      <c r="AE40" s="24">
        <f t="shared" si="12"/>
        <v>10.914262751980342</v>
      </c>
      <c r="AF40" s="25">
        <f>$K40/(($C$87*(1-$C$87))+(($K40-1)*($C$87*$C$87)*((1-$C$87)*(1-$C$87))*($B$87*$B$87)))</f>
        <v>142.04515396347622</v>
      </c>
      <c r="AG40" s="24">
        <f t="shared" si="13"/>
        <v>11.943226946984653</v>
      </c>
      <c r="AH40" s="24">
        <f t="shared" si="14"/>
        <v>10.926550304882786</v>
      </c>
      <c r="AI40" s="25">
        <f>$K40/(($C$88*(1-$C$88))+(($K40-1)*($C$88*$C$88)*((1-$C$88)*(1-$C$88))*($B$88*$B$88)))</f>
        <v>142.17713274819397</v>
      </c>
      <c r="AJ40" s="24">
        <f t="shared" si="15"/>
        <v>11.956653799549134</v>
      </c>
      <c r="AK40" s="24">
        <f t="shared" si="16"/>
        <v>10.936702519091844</v>
      </c>
      <c r="AL40" s="25">
        <f>$K40/(($C$89*(1-$C$89))+(($K40-1)*($C$89*$C$89)*((1-$C$89)*(1-$C$89))*($B$89*$B$89)))</f>
        <v>142.28707976372203</v>
      </c>
      <c r="AM40" s="24">
        <f t="shared" si="17"/>
        <v>11.967751343682442</v>
      </c>
      <c r="AN40" s="24">
        <f t="shared" si="18"/>
        <v>10.945159981824773</v>
      </c>
      <c r="AO40" s="25">
        <f>$K40/(($C$90*(1-$C$90))+(($K40-1)*($C$90*$C$90)*((1-$C$90)*(1-$C$90))*($B$90*$B$90)))</f>
        <v>142.37930649071802</v>
      </c>
      <c r="AP40" s="24">
        <f t="shared" si="19"/>
        <v>11.976998952166136</v>
      </c>
      <c r="AQ40" s="24">
        <f t="shared" si="20"/>
        <v>10.952254345439849</v>
      </c>
      <c r="AR40" s="25">
        <f>$K40/(($C$91*(1-$C$91))+(($K40-1)*($C$91*$C$91)*((1-$C$91)*(1-$C$91))*($B$91*$B$91)))</f>
        <v>142.45711864795507</v>
      </c>
      <c r="AS40" s="24">
        <f t="shared" si="21"/>
        <v>11.984757858714465</v>
      </c>
      <c r="AT40" s="24">
        <f t="shared" si="22"/>
        <v>10.958239895996545</v>
      </c>
      <c r="AU40" s="25">
        <f>$K40/(($C$92*(1-$C$92))+(($K40-1)*($C$92*$C$92)*((1-$C$92)*(1-$C$92))*($B$92*$B$92)))</f>
        <v>142.52309162714946</v>
      </c>
      <c r="AV40" s="24">
        <f t="shared" si="23"/>
        <v>11.991305268721234</v>
      </c>
      <c r="AW40" s="24">
        <f t="shared" si="24"/>
        <v>10.963314740549958</v>
      </c>
      <c r="AX40" s="25">
        <f>$K40/(($C$93*(1-$C$93))+(($K40-1)*($C$93*$C$93)*((1-$C$93)*(1-$C$93))*($B$93*$B$93)))</f>
        <v>142.57926000526297</v>
      </c>
      <c r="AY40" s="24">
        <f t="shared" si="25"/>
        <v>11.996857296247846</v>
      </c>
      <c r="AZ40" s="24">
        <f t="shared" si="26"/>
        <v>10.967635385020229</v>
      </c>
      <c r="BA40" s="25">
        <f>$K40/(($C$94*(1-$C$94))+(($K40-1)*($C$94*$C$94)*((1-$C$94)*(1-$C$94))*($B$94*$B$94)))</f>
        <v>142.62725084698033</v>
      </c>
      <c r="BB40" s="24">
        <f t="shared" si="27"/>
        <v>12.001584770727927</v>
      </c>
      <c r="BC40" s="24">
        <f t="shared" si="28"/>
        <v>10.971326988229256</v>
      </c>
      <c r="BD40" s="25">
        <f>$K40/(($C$95*(1-$C$95))+(($K40-1)*($C$95*$C$95)*((1-$C$95)*(1-$C$95))*($B$95*$B$95)))</f>
        <v>142.66837933819116</v>
      </c>
      <c r="BE40" s="24">
        <f t="shared" si="29"/>
        <v>12.00562437010789</v>
      </c>
      <c r="BF40" s="24">
        <f t="shared" si="30"/>
        <v>10.974490718322397</v>
      </c>
      <c r="BG40" s="25">
        <f>$K40/(($C$96*(1-$C$96))+(($K40-1)*($C$96*$C$96)*((1-$C$96)*(1-$C$96))*($B$96*$B$96)))</f>
        <v>142.70371862564795</v>
      </c>
      <c r="BH40" s="24">
        <f t="shared" si="31"/>
        <v>12.009086616889327</v>
      </c>
      <c r="BI40" s="24">
        <f t="shared" si="32"/>
        <v>10.977209125049843</v>
      </c>
      <c r="BJ40" s="25">
        <f>$K40/(($C$97*(1-$C$97))+(($K40-1)*($C$97*$C$97)*((1-$C$97)*(1-$C$97))*($B$97*$B$97)))</f>
        <v>142.73415164815333</v>
      </c>
      <c r="BK40" s="24">
        <f t="shared" si="33"/>
        <v>12.012061723063592</v>
      </c>
      <c r="BL40" s="24">
        <f t="shared" si="34"/>
        <v>10.979550126781026</v>
      </c>
      <c r="BM40" s="25">
        <f>$K40/(($C$98*(1-$C$98))+(($K40-1)*($C$98*$C$98)*((1-$C$98)*(1-$C$98))*($B$98*$B$98)))</f>
        <v>142.76041017159892</v>
      </c>
      <c r="BN40" s="24">
        <f t="shared" si="35"/>
        <v>12.014623931421253</v>
      </c>
      <c r="BO40" s="24">
        <f t="shared" si="36"/>
        <v>10.981570013199917</v>
      </c>
      <c r="BP40" s="25">
        <f>$K40/(($C$99*(1-$C$99))+(($K40-1)*($C$99*$C$99)*((1-$C$99)*(1-$C$99))*($B$99*$B$99)))</f>
        <v>142.78310458441101</v>
      </c>
      <c r="BQ40" s="24">
        <f t="shared" si="37"/>
        <v>12.016834787349252</v>
      </c>
      <c r="BR40" s="24">
        <f t="shared" si="38"/>
        <v>10.983315737262386</v>
      </c>
      <c r="BS40" s="49">
        <f>$K40/(($C$100*(1-$C$100))+(($K40-1)*($C$100*$C$100)*((1-$C$100)*(1-$C$100))*($B$100*$B$100)))</f>
        <v>142.80106421185155</v>
      </c>
      <c r="BT40" s="50">
        <f t="shared" si="39"/>
        <v>12.019857994464525</v>
      </c>
      <c r="BU40" s="50">
        <f t="shared" si="40"/>
        <v>10.984697247065505</v>
      </c>
      <c r="BV40" s="49"/>
      <c r="BW40" s="50">
        <f t="shared" si="41"/>
        <v>0.96076892283052284</v>
      </c>
      <c r="BX40" s="24"/>
      <c r="BY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</row>
    <row r="41" spans="1:255" x14ac:dyDescent="0.15">
      <c r="A41" s="111">
        <v>900</v>
      </c>
      <c r="B41" s="112">
        <v>24.560000000000009</v>
      </c>
      <c r="C41" s="111">
        <v>4</v>
      </c>
      <c r="D41" s="114">
        <f t="shared" si="42"/>
        <v>30</v>
      </c>
      <c r="E41" s="113">
        <f t="shared" si="43"/>
        <v>0.13333333333333333</v>
      </c>
      <c r="F41" s="110">
        <f t="shared" si="44"/>
        <v>34.280689427780764</v>
      </c>
      <c r="G41" s="110">
        <f>IF(C41=0,F41*SQRT((1/(0.5+C41))+(1/(0.5+D41))),F41*SQRT((1/C41)+(1/D41)))</f>
        <v>18.247290369598861</v>
      </c>
      <c r="H41" s="24">
        <f>($C$54*(C41+D41))/($C$54+$D$54)</f>
        <v>3.4404761904761907</v>
      </c>
      <c r="I41" s="24">
        <f>($D$54*(C41+D41))/($C$54+$D$54)</f>
        <v>30.55952380952381</v>
      </c>
      <c r="J41" s="24">
        <f>(((C41-H41)^2)/H41)+(((D41-I41)^2)/I41)</f>
        <v>0.10123971676711194</v>
      </c>
      <c r="K41" s="29">
        <f>C41+D41</f>
        <v>34</v>
      </c>
      <c r="L41" s="24">
        <f>C41/K41</f>
        <v>0.11764705882352941</v>
      </c>
      <c r="M41" s="24">
        <f>LOG((C41+0.5)/(D41+0.5))</f>
        <v>-0.83108732557144216</v>
      </c>
      <c r="N41" s="25">
        <f t="shared" si="0"/>
        <v>356.60374222659993</v>
      </c>
      <c r="O41" s="24">
        <f t="shared" si="1"/>
        <v>34.43904520077195</v>
      </c>
      <c r="P41" s="24">
        <f t="shared" si="45"/>
        <v>41.95338143842352</v>
      </c>
      <c r="Q41" s="25">
        <f>$K41/(($C$82*(1-$C$82))+(($K41-1)*($C$82*$C$82)*((1-$C$82)*(1-$C$82))*($B$82*$B$82)))</f>
        <v>359.33356967432456</v>
      </c>
      <c r="R41" s="24">
        <f t="shared" si="3"/>
        <v>34.363060525821851</v>
      </c>
      <c r="S41" s="24">
        <f t="shared" si="4"/>
        <v>42.274537608744069</v>
      </c>
      <c r="T41" s="25">
        <f>$K41/(($C$83*(1-$C$83))+(($K41-1)*($C$83*$C$83)*((1-$C$83)*(1-$C$83))*($B$83*$B$83)))</f>
        <v>361.88021316606381</v>
      </c>
      <c r="U41" s="24">
        <f t="shared" si="5"/>
        <v>34.950119294609912</v>
      </c>
      <c r="V41" s="24">
        <f t="shared" si="6"/>
        <v>42.574142725419271</v>
      </c>
      <c r="W41" s="25">
        <f>$K41/(($C$84*(1-$C$84))+(($K41-1)*($C$84*$C$84)*((1-$C$84)*(1-$C$84))*($B$84*$B$84)))</f>
        <v>363.88242927061884</v>
      </c>
      <c r="X41" s="24">
        <f t="shared" si="7"/>
        <v>35.419867362815594</v>
      </c>
      <c r="Y41" s="24">
        <f t="shared" si="8"/>
        <v>42.809697561249273</v>
      </c>
      <c r="Z41" s="25">
        <f>$K41/(($C$85*(1-$C$85))+(($K41-1)*($C$85*$C$85)*((1-$C$85)*(1-$C$85))*($B$85*$B$85)))</f>
        <v>365.4836273392209</v>
      </c>
      <c r="AA41" s="24">
        <f t="shared" si="9"/>
        <v>35.80005012823252</v>
      </c>
      <c r="AB41" s="24">
        <f t="shared" si="10"/>
        <v>42.998073804614222</v>
      </c>
      <c r="AC41" s="25">
        <f>$K41/(($C$86*(1-$C$86))+(($K41-1)*($C$86*$C$86)*((1-$C$86)*(1-$C$86))*($B$86*$B$86)))</f>
        <v>366.78225494446502</v>
      </c>
      <c r="AD41" s="24">
        <f t="shared" si="11"/>
        <v>36.111339822136806</v>
      </c>
      <c r="AE41" s="24">
        <f t="shared" si="12"/>
        <v>43.150853522878236</v>
      </c>
      <c r="AF41" s="25">
        <f>$K41/(($C$87*(1-$C$87))+(($K41-1)*($C$87*$C$87)*((1-$C$87)*(1-$C$87))*($B$87*$B$87)))</f>
        <v>367.84763344381469</v>
      </c>
      <c r="AG41" s="24">
        <f t="shared" si="13"/>
        <v>36.368689738187427</v>
      </c>
      <c r="AH41" s="24">
        <f t="shared" si="14"/>
        <v>43.276192169860551</v>
      </c>
      <c r="AI41" s="25">
        <f>$K41/(($C$88*(1-$C$88))+(($K41-1)*($C$88*$C$88)*((1-$C$88)*(1-$C$88))*($B$88*$B$88)))</f>
        <v>368.72995444603339</v>
      </c>
      <c r="AJ41" s="24">
        <f t="shared" si="15"/>
        <v>36.583165963173137</v>
      </c>
      <c r="AK41" s="24">
        <f t="shared" si="16"/>
        <v>43.37999464070981</v>
      </c>
      <c r="AL41" s="25">
        <f>$K41/(($C$89*(1-$C$89))+(($K41-1)*($C$89*$C$89)*((1-$C$89)*(1-$C$89))*($B$89*$B$89)))</f>
        <v>369.46643242337535</v>
      </c>
      <c r="AM41" s="24">
        <f t="shared" si="17"/>
        <v>36.76312355027887</v>
      </c>
      <c r="AN41" s="24">
        <f t="shared" si="18"/>
        <v>43.466639108632393</v>
      </c>
      <c r="AO41" s="25">
        <f>$K41/(($C$90*(1-$C$90))+(($K41-1)*($C$90*$C$90)*((1-$C$90)*(1-$C$90))*($B$90*$B$90)))</f>
        <v>370.08522905570425</v>
      </c>
      <c r="AP41" s="24">
        <f t="shared" si="19"/>
        <v>36.914982201269851</v>
      </c>
      <c r="AQ41" s="24">
        <f t="shared" si="20"/>
        <v>43.539438712435796</v>
      </c>
      <c r="AR41" s="25">
        <f>$K41/(($C$91*(1-$C$91))+(($K41-1)*($C$91*$C$91)*((1-$C$91)*(1-$C$91))*($B$91*$B$91)))</f>
        <v>370.60803524617927</v>
      </c>
      <c r="AS41" s="24">
        <f t="shared" si="21"/>
        <v>37.043750970659829</v>
      </c>
      <c r="AT41" s="24">
        <f t="shared" si="22"/>
        <v>43.600945323079912</v>
      </c>
      <c r="AU41" s="25">
        <f>$K41/(($C$92*(1-$C$92))+(($K41-1)*($C$92*$C$92)*((1-$C$92)*(1-$C$92))*($B$92*$B$92)))</f>
        <v>371.05181672077822</v>
      </c>
      <c r="AV41" s="24">
        <f t="shared" si="23"/>
        <v>37.153391402322029</v>
      </c>
      <c r="AW41" s="24">
        <f t="shared" si="24"/>
        <v>43.653154908326847</v>
      </c>
      <c r="AX41" s="25">
        <f>$K41/(($C$93*(1-$C$93))+(($K41-1)*($C$93*$C$93)*((1-$C$93)*(1-$C$93))*($B$93*$B$93)))</f>
        <v>371.43002278941015</v>
      </c>
      <c r="AY41" s="24">
        <f t="shared" si="25"/>
        <v>37.24707408703194</v>
      </c>
      <c r="AZ41" s="24">
        <f t="shared" si="26"/>
        <v>43.697649739930604</v>
      </c>
      <c r="BA41" s="25">
        <f>$K41/(($C$94*(1-$C$94))+(($K41-1)*($C$94*$C$94)*((1-$C$94)*(1-$C$94))*($B$94*$B$94)))</f>
        <v>371.753441415954</v>
      </c>
      <c r="BB41" s="24">
        <f t="shared" si="27"/>
        <v>37.327363340839391</v>
      </c>
      <c r="BC41" s="24">
        <f t="shared" si="28"/>
        <v>43.735698990112233</v>
      </c>
      <c r="BD41" s="25">
        <f>$K41/(($C$95*(1-$C$95))+(($K41-1)*($C$95*$C$95)*((1-$C$95)*(1-$C$95))*($B$95*$B$95)))</f>
        <v>372.03081577260235</v>
      </c>
      <c r="BE41" s="24">
        <f t="shared" si="29"/>
        <v>37.396352421664808</v>
      </c>
      <c r="BF41" s="24">
        <f t="shared" si="30"/>
        <v>43.768331267364985</v>
      </c>
      <c r="BG41" s="25">
        <f>$K41/(($C$96*(1-$C$96))+(($K41-1)*($C$96*$C$96)*((1-$C$96)*(1-$C$96))*($B$96*$B$96)))</f>
        <v>372.26929655514255</v>
      </c>
      <c r="BH41" s="24">
        <f t="shared" si="31"/>
        <v>37.455764080257936</v>
      </c>
      <c r="BI41" s="24">
        <f t="shared" si="32"/>
        <v>43.796387830016769</v>
      </c>
      <c r="BJ41" s="25">
        <f>$K41/(($C$97*(1-$C$97))+(($K41-1)*($C$97*$C$97)*((1-$C$97)*(1-$C$97))*($B$97*$B$97)))</f>
        <v>372.47477905372028</v>
      </c>
      <c r="BK41" s="24">
        <f t="shared" si="33"/>
        <v>37.507026404338873</v>
      </c>
      <c r="BL41" s="24">
        <f t="shared" si="34"/>
        <v>43.820562241614148</v>
      </c>
      <c r="BM41" s="25">
        <f>$K41/(($C$98*(1-$C$98))+(($K41-1)*($C$98*$C$98)*((1-$C$98)*(1-$C$98))*($B$98*$B$98)))</f>
        <v>372.65215796159509</v>
      </c>
      <c r="BN41" s="24">
        <f t="shared" si="35"/>
        <v>37.551330780069542</v>
      </c>
      <c r="BO41" s="24">
        <f t="shared" si="36"/>
        <v>43.841430348422954</v>
      </c>
      <c r="BP41" s="25">
        <f>$K41/(($C$99*(1-$C$99))+(($K41-1)*($C$99*$C$99)*((1-$C$99)*(1-$C$99))*($B$99*$B$99)))</f>
        <v>372.80552253883593</v>
      </c>
      <c r="BQ41" s="24">
        <f t="shared" si="37"/>
        <v>37.589676724497799</v>
      </c>
      <c r="BR41" s="24">
        <f t="shared" si="38"/>
        <v>43.85947323986305</v>
      </c>
      <c r="BS41" s="49">
        <f>$K41/(($C$100*(1-$C$100))+(($K41-1)*($C$100*$C$100)*((1-$C$100)*(1-$C$100))*($B$100*$B$100)))</f>
        <v>372.93428843063833</v>
      </c>
      <c r="BT41" s="50">
        <f t="shared" si="39"/>
        <v>37.615647928572137</v>
      </c>
      <c r="BU41" s="50">
        <f t="shared" si="40"/>
        <v>43.874622168310388</v>
      </c>
      <c r="BV41" s="49"/>
      <c r="BW41" s="50">
        <f t="shared" si="41"/>
        <v>1.8786728732554483</v>
      </c>
      <c r="BX41" s="24"/>
      <c r="BY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</row>
    <row r="42" spans="1:255" x14ac:dyDescent="0.15">
      <c r="A42" s="111">
        <v>600</v>
      </c>
      <c r="B42" s="112">
        <v>18.590000000000003</v>
      </c>
      <c r="C42" s="111">
        <v>1</v>
      </c>
      <c r="D42" s="114">
        <f t="shared" si="42"/>
        <v>15</v>
      </c>
      <c r="E42" s="113">
        <f t="shared" si="43"/>
        <v>6.6666666666666666E-2</v>
      </c>
      <c r="F42" s="110">
        <f t="shared" si="44"/>
        <v>17.163131883814714</v>
      </c>
      <c r="G42" s="110">
        <f>IF(C42=0,F42*SQRT((1/(0.5+C42))+(1/(0.5+D42))),F42*SQRT((1/C42)+(1/D42)))</f>
        <v>17.726006387940242</v>
      </c>
      <c r="H42" s="24">
        <f>($C$54*(C42+D42))/($C$54+$D$54)</f>
        <v>1.6190476190476191</v>
      </c>
      <c r="I42" s="24">
        <f>($D$54*(C42+D42))/($C$54+$D$54)</f>
        <v>14.380952380952381</v>
      </c>
      <c r="J42" s="24">
        <f>(((C42-H42)^2)/H42)+(((D42-I42)^2)/I42)</f>
        <v>0.26334242306194</v>
      </c>
      <c r="K42" s="29">
        <f>C42+D42</f>
        <v>16</v>
      </c>
      <c r="L42" s="24">
        <f>C42/K42</f>
        <v>6.25E-2</v>
      </c>
      <c r="M42" s="24">
        <f>LOG((C42+0.5)/(D42+0.5))</f>
        <v>-1.0142404391146103</v>
      </c>
      <c r="N42" s="25">
        <f t="shared" si="0"/>
        <v>172.13969824683241</v>
      </c>
      <c r="O42" s="24">
        <f t="shared" si="1"/>
        <v>44.357823088632699</v>
      </c>
      <c r="P42" s="24">
        <f t="shared" si="45"/>
        <v>10.758731140427026</v>
      </c>
      <c r="Q42" s="25">
        <f>$K42/(($C$82*(1-$C$82))+(($K42-1)*($C$82*$C$82)*((1-$C$82)*(1-$C$82))*($B$82*$B$82)))</f>
        <v>172.63563274303726</v>
      </c>
      <c r="R42" s="24">
        <f t="shared" si="3"/>
        <v>44.944281676292242</v>
      </c>
      <c r="S42" s="24">
        <f t="shared" si="4"/>
        <v>10.789727046439829</v>
      </c>
      <c r="T42" s="25">
        <f>$K42/(($C$83*(1-$C$83))+(($K42-1)*($C$83*$C$83)*((1-$C$83)*(1-$C$83))*($B$83*$B$83)))</f>
        <v>173.21999257153303</v>
      </c>
      <c r="U42" s="24">
        <f t="shared" si="5"/>
        <v>45.195523600843828</v>
      </c>
      <c r="V42" s="24">
        <f t="shared" si="6"/>
        <v>10.826249535720814</v>
      </c>
      <c r="W42" s="25">
        <f>$K42/(($C$84*(1-$C$84))+(($K42-1)*($C$84*$C$84)*((1-$C$84)*(1-$C$84))*($B$84*$B$84)))</f>
        <v>173.67730916388118</v>
      </c>
      <c r="X42" s="24">
        <f t="shared" si="7"/>
        <v>45.390173875632648</v>
      </c>
      <c r="Y42" s="24">
        <f t="shared" si="8"/>
        <v>10.854831822742574</v>
      </c>
      <c r="Z42" s="25">
        <f>$K42/(($C$85*(1-$C$85))+(($K42-1)*($C$85*$C$85)*((1-$C$85)*(1-$C$85))*($B$85*$B$85)))</f>
        <v>174.04156852462668</v>
      </c>
      <c r="AA42" s="24">
        <f t="shared" si="9"/>
        <v>45.544340846475379</v>
      </c>
      <c r="AB42" s="24">
        <f t="shared" si="10"/>
        <v>10.877598032789168</v>
      </c>
      <c r="AC42" s="25">
        <f>$K42/(($C$86*(1-$C$86))+(($K42-1)*($C$86*$C$86)*((1-$C$86)*(1-$C$86))*($B$86*$B$86)))</f>
        <v>174.33604471424104</v>
      </c>
      <c r="AD42" s="24">
        <f t="shared" si="11"/>
        <v>45.668412361116239</v>
      </c>
      <c r="AE42" s="24">
        <f t="shared" si="12"/>
        <v>10.896002794640065</v>
      </c>
      <c r="AF42" s="25">
        <f>$K42/(($C$87*(1-$C$87))+(($K42-1)*($C$87*$C$87)*((1-$C$87)*(1-$C$87))*($B$87*$B$87)))</f>
        <v>174.57699561852186</v>
      </c>
      <c r="AG42" s="24">
        <f t="shared" si="13"/>
        <v>45.769562117723517</v>
      </c>
      <c r="AH42" s="24">
        <f t="shared" si="14"/>
        <v>10.911062226157616</v>
      </c>
      <c r="AI42" s="25">
        <f>$K42/(($C$88*(1-$C$88))+(($K42-1)*($C$88*$C$88)*((1-$C$88)*(1-$C$88))*($B$88*$B$88)))</f>
        <v>174.77611409735655</v>
      </c>
      <c r="AJ42" s="24">
        <f t="shared" si="15"/>
        <v>45.852901262904481</v>
      </c>
      <c r="AK42" s="24">
        <f t="shared" si="16"/>
        <v>10.923507131084785</v>
      </c>
      <c r="AL42" s="25">
        <f>$K42/(($C$89*(1-$C$89))+(($K42-1)*($C$89*$C$89)*((1-$C$89)*(1-$C$89))*($B$89*$B$89)))</f>
        <v>174.94202079844808</v>
      </c>
      <c r="AM42" s="24">
        <f t="shared" si="17"/>
        <v>45.922168386309394</v>
      </c>
      <c r="AN42" s="24">
        <f t="shared" si="18"/>
        <v>10.933876299903005</v>
      </c>
      <c r="AO42" s="25">
        <f>$K42/(($C$90*(1-$C$90))+(($K42-1)*($C$90*$C$90)*((1-$C$90)*(1-$C$90))*($B$90*$B$90)))</f>
        <v>175.08120776620339</v>
      </c>
      <c r="AP42" s="24">
        <f t="shared" si="19"/>
        <v>45.980160118862251</v>
      </c>
      <c r="AQ42" s="24">
        <f t="shared" si="20"/>
        <v>10.942575485387712</v>
      </c>
      <c r="AR42" s="25">
        <f>$K42/(($C$91*(1-$C$91))+(($K42-1)*($C$91*$C$91)*((1-$C$91)*(1-$C$91))*($B$91*$B$91)))</f>
        <v>175.19865450558873</v>
      </c>
      <c r="AS42" s="24">
        <f t="shared" si="21"/>
        <v>46.029009219257397</v>
      </c>
      <c r="AT42" s="24">
        <f t="shared" si="22"/>
        <v>10.949915906599296</v>
      </c>
      <c r="AU42" s="25">
        <f>$K42/(($C$92*(1-$C$92))+(($K42-1)*($C$92*$C$92)*((1-$C$92)*(1-$C$92))*($B$92*$B$92)))</f>
        <v>175.29824169515902</v>
      </c>
      <c r="AV42" s="24">
        <f t="shared" si="23"/>
        <v>46.070369578767533</v>
      </c>
      <c r="AW42" s="24">
        <f t="shared" si="24"/>
        <v>10.956140105947439</v>
      </c>
      <c r="AX42" s="25">
        <f>$K42/(($C$93*(1-$C$93))+(($K42-1)*($C$93*$C$93)*((1-$C$93)*(1-$C$93))*($B$93*$B$93)))</f>
        <v>175.3830359881118</v>
      </c>
      <c r="AY42" s="24">
        <f t="shared" si="25"/>
        <v>46.105542543425507</v>
      </c>
      <c r="AZ42" s="24">
        <f t="shared" si="26"/>
        <v>10.961439749256987</v>
      </c>
      <c r="BA42" s="25">
        <f>$K42/(($C$94*(1-$C$94))+(($K42-1)*($C$94*$C$94)*((1-$C$94)*(1-$C$94))*($B$94*$B$94)))</f>
        <v>175.45549043285925</v>
      </c>
      <c r="BB42" s="24">
        <f t="shared" si="27"/>
        <v>46.135565173268994</v>
      </c>
      <c r="BC42" s="24">
        <f t="shared" si="28"/>
        <v>10.965968152053703</v>
      </c>
      <c r="BD42" s="25">
        <f>$K42/(($C$95*(1-$C$95))+(($K42-1)*($C$95*$C$95)*((1-$C$95)*(1-$C$95))*($B$95*$B$95)))</f>
        <v>175.51758831773054</v>
      </c>
      <c r="BE42" s="24">
        <f t="shared" si="29"/>
        <v>46.161273184505404</v>
      </c>
      <c r="BF42" s="24">
        <f t="shared" si="30"/>
        <v>10.969849269858159</v>
      </c>
      <c r="BG42" s="25">
        <f>$K42/(($C$96*(1-$C$96))+(($K42-1)*($C$96*$C$96)*((1-$C$96)*(1-$C$96))*($B$96*$B$96)))</f>
        <v>175.57094825792905</v>
      </c>
      <c r="BH42" s="24">
        <f t="shared" si="31"/>
        <v>46.183346670736597</v>
      </c>
      <c r="BI42" s="24">
        <f t="shared" si="32"/>
        <v>10.973184266120565</v>
      </c>
      <c r="BJ42" s="25">
        <f>$K42/(($C$97*(1-$C$97))+(($K42-1)*($C$97*$C$97)*((1-$C$97)*(1-$C$97))*($B$97*$B$97)))</f>
        <v>175.61690221196844</v>
      </c>
      <c r="BK42" s="24">
        <f t="shared" si="33"/>
        <v>46.202343872262524</v>
      </c>
      <c r="BL42" s="24">
        <f t="shared" si="34"/>
        <v>10.976056388248027</v>
      </c>
      <c r="BM42" s="25">
        <f>$K42/(($C$98*(1-$C$98))+(($K42-1)*($C$98*$C$98)*((1-$C$98)*(1-$C$98))*($B$98*$B$98)))</f>
        <v>175.65655425565654</v>
      </c>
      <c r="BN42" s="24">
        <f t="shared" si="35"/>
        <v>46.218726498068825</v>
      </c>
      <c r="BO42" s="24">
        <f t="shared" si="36"/>
        <v>10.978534640978534</v>
      </c>
      <c r="BP42" s="25">
        <f>$K42/(($C$99*(1-$C$99))+(($K42-1)*($C$99*$C$99)*((1-$C$99)*(1-$C$99))*($B$99*$B$99)))</f>
        <v>175.69082545713465</v>
      </c>
      <c r="BQ42" s="24">
        <f t="shared" si="37"/>
        <v>46.23287897782302</v>
      </c>
      <c r="BR42" s="24">
        <f t="shared" si="38"/>
        <v>10.980676591070916</v>
      </c>
      <c r="BS42" s="49">
        <f>$K42/(($C$100*(1-$C$100))+(($K42-1)*($C$100*$C$100)*((1-$C$100)*(1-$C$100))*($B$100*$B$100)))</f>
        <v>175.71844324386325</v>
      </c>
      <c r="BT42" s="50">
        <f t="shared" si="39"/>
        <v>46.247415310560747</v>
      </c>
      <c r="BU42" s="50">
        <f t="shared" si="40"/>
        <v>10.982402702741453</v>
      </c>
      <c r="BV42" s="49"/>
      <c r="BW42" s="50">
        <f t="shared" si="41"/>
        <v>0.96824583655185437</v>
      </c>
      <c r="BX42" s="24"/>
      <c r="BY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</row>
    <row r="43" spans="1:255" x14ac:dyDescent="0.15">
      <c r="A43" s="111">
        <v>2400</v>
      </c>
      <c r="B43" s="112">
        <v>17.025627741731</v>
      </c>
      <c r="C43" s="111">
        <v>8</v>
      </c>
      <c r="D43" s="114">
        <f t="shared" si="42"/>
        <v>55</v>
      </c>
      <c r="E43" s="113">
        <f t="shared" si="43"/>
        <v>0.14545454545454545</v>
      </c>
      <c r="F43" s="110">
        <f t="shared" si="44"/>
        <v>37.388095093183985</v>
      </c>
      <c r="G43" s="110">
        <f>IF(C43=0,F43*SQRT((1/(0.5+C43))+(1/(0.5+D43))),F43*SQRT((1/C43)+(1/D43)))</f>
        <v>14.147420921874851</v>
      </c>
      <c r="H43" s="24">
        <f>($C$54*(C43+D43))/($C$54+$D$54)</f>
        <v>6.375</v>
      </c>
      <c r="I43" s="24">
        <f>($D$54*(C43+D43))/($C$54+$D$54)</f>
        <v>56.625</v>
      </c>
      <c r="J43" s="24">
        <f>(((C43-H43)^2)/H43)+(((D43-I43)^2)/I43)</f>
        <v>0.46084924035839503</v>
      </c>
      <c r="K43" s="29">
        <f>C43+D43</f>
        <v>63</v>
      </c>
      <c r="L43" s="24">
        <f>C43/K43</f>
        <v>0.12698412698412698</v>
      </c>
      <c r="M43" s="24">
        <f>LOG((C43+0.5)/(D43+0.5))</f>
        <v>-0.81487405740838348</v>
      </c>
      <c r="N43" s="25">
        <f t="shared" si="0"/>
        <v>635.05245359388459</v>
      </c>
      <c r="O43" s="24">
        <f t="shared" si="1"/>
        <v>268.31492339001693</v>
      </c>
      <c r="P43" s="24">
        <f t="shared" si="45"/>
        <v>80.641581408747243</v>
      </c>
      <c r="Q43" s="25">
        <f>$K43/(($C$82*(1-$C$82))+(($K43-1)*($C$82*$C$82)*((1-$C$82)*(1-$C$82))*($B$82*$B$82)))</f>
        <v>644.54537829421167</v>
      </c>
      <c r="R43" s="24">
        <f t="shared" si="3"/>
        <v>273.33939040868432</v>
      </c>
      <c r="S43" s="24">
        <f t="shared" si="4"/>
        <v>81.847032164344341</v>
      </c>
      <c r="T43" s="25">
        <f>$K43/(($C$83*(1-$C$83))+(($K43-1)*($C$83*$C$83)*((1-$C$83)*(1-$C$83))*($B$83*$B$83)))</f>
        <v>652.79291095315762</v>
      </c>
      <c r="U43" s="24">
        <f t="shared" si="5"/>
        <v>280.88201337700093</v>
      </c>
      <c r="V43" s="24">
        <f t="shared" si="6"/>
        <v>82.89433789881366</v>
      </c>
      <c r="W43" s="25">
        <f>$K43/(($C$84*(1-$C$84))+(($K43-1)*($C$84*$C$84)*((1-$C$84)*(1-$C$84))*($B$84*$B$84)))</f>
        <v>659.33796443403423</v>
      </c>
      <c r="X43" s="24">
        <f t="shared" si="7"/>
        <v>286.96528383112809</v>
      </c>
      <c r="Y43" s="24">
        <f t="shared" si="8"/>
        <v>83.725455801147206</v>
      </c>
      <c r="Z43" s="25">
        <f>$K43/(($C$85*(1-$C$85))+(($K43-1)*($C$85*$C$85)*((1-$C$85)*(1-$C$85))*($B$85*$B$85)))</f>
        <v>664.61182923762226</v>
      </c>
      <c r="AA43" s="24">
        <f t="shared" si="9"/>
        <v>291.9263794089494</v>
      </c>
      <c r="AB43" s="24">
        <f t="shared" si="10"/>
        <v>84.395152919063136</v>
      </c>
      <c r="AC43" s="25">
        <f>$K43/(($C$86*(1-$C$86))+(($K43-1)*($C$86*$C$86)*((1-$C$86)*(1-$C$86))*($B$86*$B$86)))</f>
        <v>668.91530300110719</v>
      </c>
      <c r="AD43" s="24">
        <f t="shared" si="11"/>
        <v>296.01385648017157</v>
      </c>
      <c r="AE43" s="24">
        <f t="shared" si="12"/>
        <v>84.941625777918375</v>
      </c>
      <c r="AF43" s="25">
        <f>$K43/(($C$87*(1-$C$87))+(($K43-1)*($C$87*$C$87)*((1-$C$87)*(1-$C$87))*($B$87*$B$87)))</f>
        <v>672.46348281530015</v>
      </c>
      <c r="AG43" s="24">
        <f t="shared" si="13"/>
        <v>299.41046086728812</v>
      </c>
      <c r="AH43" s="24">
        <f t="shared" si="14"/>
        <v>85.39218829400636</v>
      </c>
      <c r="AI43" s="25">
        <f>$K43/(($C$88*(1-$C$88))+(($K43-1)*($C$88*$C$88)*((1-$C$88)*(1-$C$88))*($B$88*$B$88)))</f>
        <v>675.41413574398121</v>
      </c>
      <c r="AJ43" s="24">
        <f t="shared" si="15"/>
        <v>302.25331280686697</v>
      </c>
      <c r="AK43" s="24">
        <f t="shared" si="16"/>
        <v>85.766874380188085</v>
      </c>
      <c r="AL43" s="25">
        <f>$K43/(($C$89*(1-$C$89))+(($K43-1)*($C$89*$C$89)*((1-$C$89)*(1-$C$89))*($B$89*$B$89)))</f>
        <v>677.88552879169947</v>
      </c>
      <c r="AM43" s="24">
        <f t="shared" si="17"/>
        <v>304.6471663763175</v>
      </c>
      <c r="AN43" s="24">
        <f t="shared" si="18"/>
        <v>86.080702068787232</v>
      </c>
      <c r="AO43" s="25">
        <f>$K43/(($C$90*(1-$C$90))+(($K43-1)*($C$90*$C$90)*((1-$C$90)*(1-$C$90))*($B$90*$B$90)))</f>
        <v>679.96800463728641</v>
      </c>
      <c r="AP43" s="24">
        <f t="shared" si="19"/>
        <v>306.67332951880041</v>
      </c>
      <c r="AQ43" s="24">
        <f t="shared" si="20"/>
        <v>86.345143446004613</v>
      </c>
      <c r="AR43" s="25">
        <f>$K43/(($C$91*(1-$C$91))+(($K43-1)*($C$91*$C$91)*((1-$C$91)*(1-$C$91))*($B$91*$B$91)))</f>
        <v>681.73171444669003</v>
      </c>
      <c r="AS43" s="24">
        <f t="shared" si="21"/>
        <v>308.39580178365725</v>
      </c>
      <c r="AT43" s="24">
        <f t="shared" si="22"/>
        <v>86.569106596405078</v>
      </c>
      <c r="AU43" s="25">
        <f>$K43/(($C$92*(1-$C$92))+(($K43-1)*($C$92*$C$92)*((1-$C$92)*(1-$C$92))*($B$92*$B$92)))</f>
        <v>683.23191516039992</v>
      </c>
      <c r="AV43" s="24">
        <f t="shared" si="23"/>
        <v>309.86558564898144</v>
      </c>
      <c r="AW43" s="24">
        <f t="shared" si="24"/>
        <v>86.7596082743365</v>
      </c>
      <c r="AX43" s="25">
        <f>$K43/(($C$93*(1-$C$93))+(($K43-1)*($C$93*$C$93)*((1-$C$93)*(1-$C$93))*($B$93*$B$93)))</f>
        <v>684.51268040773653</v>
      </c>
      <c r="AY43" s="24">
        <f t="shared" si="25"/>
        <v>311.12377250181419</v>
      </c>
      <c r="AZ43" s="24">
        <f t="shared" si="26"/>
        <v>86.922245131141139</v>
      </c>
      <c r="BA43" s="25">
        <f>$K43/(($C$94*(1-$C$94))+(($K43-1)*($C$94*$C$94)*((1-$C$94)*(1-$C$94))*($B$94*$B$94)))</f>
        <v>685.60955268162752</v>
      </c>
      <c r="BB43" s="24">
        <f t="shared" si="27"/>
        <v>312.20378990436836</v>
      </c>
      <c r="BC43" s="24">
        <f t="shared" si="28"/>
        <v>87.061530499254289</v>
      </c>
      <c r="BD43" s="25">
        <f>$K43/(($C$95*(1-$C$95))+(($K43-1)*($C$95*$C$95)*((1-$C$95)*(1-$C$95))*($B$95*$B$95)))</f>
        <v>686.55147334206822</v>
      </c>
      <c r="BE43" s="24">
        <f t="shared" si="29"/>
        <v>313.13306412155436</v>
      </c>
      <c r="BF43" s="24">
        <f t="shared" si="30"/>
        <v>87.181139472008653</v>
      </c>
      <c r="BG43" s="25">
        <f>$K43/(($C$96*(1-$C$96))+(($K43-1)*($C$96*$C$96)*((1-$C$96)*(1-$C$96))*($B$96*$B$96)))</f>
        <v>687.3622102486205</v>
      </c>
      <c r="BH43" s="24">
        <f t="shared" si="31"/>
        <v>313.93426801913341</v>
      </c>
      <c r="BI43" s="24">
        <f t="shared" si="32"/>
        <v>87.284090190301015</v>
      </c>
      <c r="BJ43" s="25">
        <f>$K43/(($C$97*(1-$C$97))+(($K43-1)*($C$97*$C$97)*((1-$C$97)*(1-$C$97))*($B$97*$B$97)))</f>
        <v>688.06142964050059</v>
      </c>
      <c r="BK43" s="24">
        <f t="shared" si="33"/>
        <v>314.62627032980674</v>
      </c>
      <c r="BL43" s="24">
        <f t="shared" si="34"/>
        <v>87.372879954349273</v>
      </c>
      <c r="BM43" s="25">
        <f>$K43/(($C$98*(1-$C$98))+(($K43-1)*($C$98*$C$98)*((1-$C$98)*(1-$C$98))*($B$98*$B$98)))</f>
        <v>688.66551196250862</v>
      </c>
      <c r="BN43" s="24">
        <f t="shared" si="35"/>
        <v>315.22486670509767</v>
      </c>
      <c r="BO43" s="24">
        <f t="shared" si="36"/>
        <v>87.449588820636009</v>
      </c>
      <c r="BP43" s="25">
        <f>$K43/(($C$99*(1-$C$99))+(($K43-1)*($C$99*$C$99)*((1-$C$99)*(1-$C$99))*($B$99*$B$99)))</f>
        <v>689.18818062517812</v>
      </c>
      <c r="BQ43" s="24">
        <f t="shared" si="37"/>
        <v>315.7433491634655</v>
      </c>
      <c r="BR43" s="24">
        <f t="shared" si="38"/>
        <v>87.515959444467057</v>
      </c>
      <c r="BS43" s="49">
        <f>$K43/(($C$100*(1-$C$100))+(($K43-1)*($C$100*$C$100)*((1-$C$100)*(1-$C$100))*($B$100*$B$100)))</f>
        <v>689.63451374437489</v>
      </c>
      <c r="BT43" s="50">
        <f t="shared" si="39"/>
        <v>316.15244598621854</v>
      </c>
      <c r="BU43" s="50">
        <f t="shared" si="40"/>
        <v>87.572636665952359</v>
      </c>
      <c r="BV43" s="49"/>
      <c r="BW43" s="50">
        <f t="shared" si="41"/>
        <v>2.64274989057364</v>
      </c>
      <c r="BX43" s="24"/>
      <c r="BY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</row>
    <row r="44" spans="1:255" x14ac:dyDescent="0.15">
      <c r="A44" s="111">
        <v>1800</v>
      </c>
      <c r="B44" s="112">
        <v>10.220000000000001</v>
      </c>
      <c r="C44" s="111">
        <v>2</v>
      </c>
      <c r="D44" s="114">
        <f t="shared" si="42"/>
        <v>25</v>
      </c>
      <c r="E44" s="113">
        <f t="shared" si="43"/>
        <v>0.08</v>
      </c>
      <c r="F44" s="110">
        <f t="shared" si="44"/>
        <v>20.590281587544091</v>
      </c>
      <c r="G44" s="110">
        <f>IF(C44=0,F44*SQRT((1/(0.5+C44))+(1/(0.5+D44))),F44*SQRT((1/C44)+(1/D44)))</f>
        <v>15.130705064911975</v>
      </c>
      <c r="H44" s="24">
        <f>($C$54*(C44+D44))/($C$54+$D$54)</f>
        <v>2.7321428571428572</v>
      </c>
      <c r="I44" s="24">
        <f>($D$54*(C44+D44))/($C$54+$D$54)</f>
        <v>24.267857142857142</v>
      </c>
      <c r="J44" s="24">
        <f>(((C44-H44)^2)/H44)+(((D44-I44)^2)/I44)</f>
        <v>0.21828333982599671</v>
      </c>
      <c r="K44" s="29">
        <f>C44+D44</f>
        <v>27</v>
      </c>
      <c r="L44" s="24">
        <f>C44/K44</f>
        <v>7.407407407407407E-2</v>
      </c>
      <c r="M44" s="24">
        <f>LOG((C44+0.5)/(D44+0.5))</f>
        <v>-1.0086001717619175</v>
      </c>
      <c r="N44" s="25">
        <f t="shared" si="0"/>
        <v>285.98034207491901</v>
      </c>
      <c r="O44" s="24">
        <f t="shared" si="1"/>
        <v>60.136270911008531</v>
      </c>
      <c r="P44" s="24">
        <f t="shared" si="45"/>
        <v>21.183729042586592</v>
      </c>
      <c r="Q44" s="25">
        <f>$K44/(($C$82*(1-$C$82))+(($K44-1)*($C$82*$C$82)*((1-$C$82)*(1-$C$82))*($B$82*$B$82)))</f>
        <v>287.64529793790547</v>
      </c>
      <c r="R44" s="24">
        <f t="shared" si="3"/>
        <v>61.482096925778954</v>
      </c>
      <c r="S44" s="24">
        <f t="shared" si="4"/>
        <v>21.307059106511517</v>
      </c>
      <c r="T44" s="25">
        <f>$K44/(($C$83*(1-$C$83))+(($K44-1)*($C$83*$C$83)*((1-$C$83)*(1-$C$83))*($B$83*$B$83)))</f>
        <v>289.27404139690373</v>
      </c>
      <c r="U44" s="24">
        <f t="shared" si="5"/>
        <v>62.075534036750632</v>
      </c>
      <c r="V44" s="24">
        <f t="shared" si="6"/>
        <v>21.427706770141015</v>
      </c>
      <c r="W44" s="25">
        <f>$K44/(($C$84*(1-$C$84))+(($K44-1)*($C$84*$C$84)*((1-$C$84)*(1-$C$84))*($B$84*$B$84)))</f>
        <v>290.55193030438733</v>
      </c>
      <c r="X44" s="24">
        <f t="shared" si="7"/>
        <v>62.538180818460773</v>
      </c>
      <c r="Y44" s="24">
        <f t="shared" si="8"/>
        <v>21.522365207732392</v>
      </c>
      <c r="Z44" s="25">
        <f>$K44/(($C$85*(1-$C$85))+(($K44-1)*($C$85*$C$85)*((1-$C$85)*(1-$C$85))*($B$85*$B$85)))</f>
        <v>291.57211237331785</v>
      </c>
      <c r="AA44" s="24">
        <f t="shared" si="9"/>
        <v>62.906386369612193</v>
      </c>
      <c r="AB44" s="24">
        <f t="shared" si="10"/>
        <v>21.597934249875394</v>
      </c>
      <c r="AC44" s="25">
        <f>$K44/(($C$86*(1-$C$86))+(($K44-1)*($C$86*$C$86)*((1-$C$86)*(1-$C$86))*($B$86*$B$86)))</f>
        <v>292.39836752691593</v>
      </c>
      <c r="AD44" s="24">
        <f t="shared" si="11"/>
        <v>63.203866656392201</v>
      </c>
      <c r="AE44" s="24">
        <f t="shared" si="12"/>
        <v>21.659138335327103</v>
      </c>
      <c r="AF44" s="25">
        <f>$K44/(($C$87*(1-$C$87))+(($K44-1)*($C$87*$C$87)*((1-$C$87)*(1-$C$87))*($B$87*$B$87)))</f>
        <v>293.07545057916752</v>
      </c>
      <c r="AG44" s="24">
        <f t="shared" si="13"/>
        <v>63.447155488210001</v>
      </c>
      <c r="AH44" s="24">
        <f t="shared" si="14"/>
        <v>21.709292635493888</v>
      </c>
      <c r="AI44" s="25">
        <f>$K44/(($C$88*(1-$C$88))+(($K44-1)*($C$88*$C$88)*((1-$C$88)*(1-$C$88))*($B$88*$B$88)))</f>
        <v>293.63567202248231</v>
      </c>
      <c r="AJ44" s="24">
        <f t="shared" si="15"/>
        <v>63.648126465763262</v>
      </c>
      <c r="AK44" s="24">
        <f t="shared" si="16"/>
        <v>21.750790520183873</v>
      </c>
      <c r="AL44" s="25">
        <f>$K44/(($C$89*(1-$C$89))+(($K44-1)*($C$89*$C$89)*((1-$C$89)*(1-$C$89))*($B$89*$B$89)))</f>
        <v>294.10292964378107</v>
      </c>
      <c r="AM44" s="24">
        <f t="shared" si="17"/>
        <v>63.815522909332579</v>
      </c>
      <c r="AN44" s="24">
        <f t="shared" si="18"/>
        <v>21.785402195835633</v>
      </c>
      <c r="AO44" s="25">
        <f>$K44/(($C$90*(1-$C$90))+(($K44-1)*($C$90*$C$90)*((1-$C$90)*(1-$C$90))*($B$90*$B$90)))</f>
        <v>294.49526992314702</v>
      </c>
      <c r="AP44" s="24">
        <f t="shared" si="19"/>
        <v>63.955922694938856</v>
      </c>
      <c r="AQ44" s="24">
        <f t="shared" si="20"/>
        <v>21.814464438751632</v>
      </c>
      <c r="AR44" s="25">
        <f>$K44/(($C$91*(1-$C$91))+(($K44-1)*($C$91*$C$91)*((1-$C$91)*(1-$C$91))*($B$91*$B$91)))</f>
        <v>294.82656763378111</v>
      </c>
      <c r="AS44" s="24">
        <f t="shared" si="21"/>
        <v>64.074366981277507</v>
      </c>
      <c r="AT44" s="24">
        <f t="shared" si="22"/>
        <v>21.839005009909712</v>
      </c>
      <c r="AU44" s="25">
        <f>$K44/(($C$92*(1-$C$92))+(($K44-1)*($C$92*$C$92)*((1-$C$92)*(1-$C$92))*($B$92*$B$92)))</f>
        <v>295.10765804265736</v>
      </c>
      <c r="AV44" s="24">
        <f t="shared" si="23"/>
        <v>64.174781757879359</v>
      </c>
      <c r="AW44" s="24">
        <f t="shared" si="24"/>
        <v>21.859826521678322</v>
      </c>
      <c r="AX44" s="25">
        <f>$K44/(($C$93*(1-$C$93))+(($K44-1)*($C$93*$C$93)*((1-$C$93)*(1-$C$93))*($B$93*$B$93)))</f>
        <v>295.3471189124723</v>
      </c>
      <c r="AY44" s="24">
        <f t="shared" si="25"/>
        <v>64.260267651655838</v>
      </c>
      <c r="AZ44" s="24">
        <f t="shared" si="26"/>
        <v>21.877564363886837</v>
      </c>
      <c r="BA44" s="25">
        <f>$K44/(($C$94*(1-$C$94))+(($K44-1)*($C$94*$C$94)*((1-$C$94)*(1-$C$94))*($B$94*$B$94)))</f>
        <v>295.55182243358962</v>
      </c>
      <c r="BB44" s="24">
        <f t="shared" si="27"/>
        <v>64.333303636821284</v>
      </c>
      <c r="BC44" s="24">
        <f t="shared" si="28"/>
        <v>21.892727587673303</v>
      </c>
      <c r="BD44" s="25">
        <f>$K44/(($C$95*(1-$C$95))+(($K44-1)*($C$95*$C$95)*((1-$C$95)*(1-$C$95))*($B$95*$B$95)))</f>
        <v>295.72733239499121</v>
      </c>
      <c r="BE44" s="24">
        <f t="shared" si="29"/>
        <v>64.395893096144874</v>
      </c>
      <c r="BF44" s="24">
        <f t="shared" si="30"/>
        <v>21.905728325554904</v>
      </c>
      <c r="BG44" s="25">
        <f>$K44/(($C$96*(1-$C$96))+(($K44-1)*($C$96*$C$96)*((1-$C$96)*(1-$C$96))*($B$96*$B$96)))</f>
        <v>295.87819502704042</v>
      </c>
      <c r="BH44" s="24">
        <f t="shared" si="31"/>
        <v>64.449670435475937</v>
      </c>
      <c r="BI44" s="24">
        <f t="shared" si="32"/>
        <v>21.916903335336325</v>
      </c>
      <c r="BJ44" s="25">
        <f>$K44/(($C$97*(1-$C$97))+(($K44-1)*($C$97*$C$97)*((1-$C$97)*(1-$C$97))*($B$97*$B$97)))</f>
        <v>296.00815538499563</v>
      </c>
      <c r="BK44" s="24">
        <f t="shared" si="33"/>
        <v>64.495980174465373</v>
      </c>
      <c r="BL44" s="24">
        <f t="shared" si="34"/>
        <v>21.926530028518194</v>
      </c>
      <c r="BM44" s="25">
        <f>$K44/(($C$98*(1-$C$98))+(($K44-1)*($C$98*$C$98)*((1-$C$98)*(1-$C$98))*($B$98*$B$98)))</f>
        <v>296.12032067983932</v>
      </c>
      <c r="BN44" s="24">
        <f t="shared" si="35"/>
        <v>64.535936490035198</v>
      </c>
      <c r="BO44" s="24">
        <f t="shared" si="36"/>
        <v>21.934838568876987</v>
      </c>
      <c r="BP44" s="25">
        <f>$K44/(($C$99*(1-$C$99))+(($K44-1)*($C$99*$C$99)*((1-$C$99)*(1-$C$99))*($B$99*$B$99)))</f>
        <v>296.21728520632257</v>
      </c>
      <c r="BQ44" s="24">
        <f t="shared" si="37"/>
        <v>64.57046865187931</v>
      </c>
      <c r="BR44" s="24">
        <f t="shared" si="38"/>
        <v>21.942021126394263</v>
      </c>
      <c r="BS44" s="49">
        <f>$K44/(($C$100*(1-$C$100))+(($K44-1)*($C$100*$C$100)*((1-$C$100)*(1-$C$100))*($B$100*$B$100)))</f>
        <v>296.29793435173303</v>
      </c>
      <c r="BT44" s="50">
        <f t="shared" si="39"/>
        <v>64.605633797796685</v>
      </c>
      <c r="BU44" s="50">
        <f t="shared" si="40"/>
        <v>21.94799513716541</v>
      </c>
      <c r="BV44" s="49"/>
      <c r="BW44" s="50">
        <f t="shared" si="41"/>
        <v>1.3608276348795434</v>
      </c>
      <c r="BX44" s="24"/>
      <c r="BY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</row>
    <row r="45" spans="1:255" x14ac:dyDescent="0.15">
      <c r="A45" s="111">
        <v>1600</v>
      </c>
      <c r="B45" s="112">
        <v>8.455294199494185</v>
      </c>
      <c r="C45" s="111">
        <v>1</v>
      </c>
      <c r="D45" s="114">
        <f t="shared" si="42"/>
        <v>18</v>
      </c>
      <c r="E45" s="113">
        <f t="shared" si="43"/>
        <v>5.5555555555555552E-2</v>
      </c>
      <c r="F45" s="110">
        <f t="shared" si="44"/>
        <v>14.305781335132634</v>
      </c>
      <c r="G45" s="110">
        <f>IF(C45=0,F45*SQRT((1/(0.5+C45))+(1/(0.5+D45))),F45*SQRT((1/C45)+(1/D45)))</f>
        <v>14.69779313095064</v>
      </c>
      <c r="H45" s="24">
        <f>($C$54*(C45+D45))/($C$54+$D$54)</f>
        <v>1.9226190476190477</v>
      </c>
      <c r="I45" s="24">
        <f>($D$54*(C45+D45))/($C$54+$D$54)</f>
        <v>17.077380952380953</v>
      </c>
      <c r="J45" s="24">
        <f>(((C45-H45)^2)/H45)+(((D45-I45)^2)/I45)</f>
        <v>0.49258811227523425</v>
      </c>
      <c r="K45" s="29">
        <f>C45+D45</f>
        <v>19</v>
      </c>
      <c r="L45" s="24">
        <f>C45/K45</f>
        <v>5.2631578947368418E-2</v>
      </c>
      <c r="M45" s="24">
        <f>LOG((C45+0.5)/(D45+0.5))</f>
        <v>-1.0910804693473326</v>
      </c>
      <c r="N45" s="25">
        <f t="shared" si="0"/>
        <v>203.541354484621</v>
      </c>
      <c r="O45" s="24">
        <f t="shared" si="1"/>
        <v>97.688389866137726</v>
      </c>
      <c r="P45" s="24">
        <f t="shared" si="45"/>
        <v>10.712702867611631</v>
      </c>
      <c r="Q45" s="25">
        <f>$K45/(($C$82*(1-$C$82))+(($K45-1)*($C$82*$C$82)*((1-$C$82)*(1-$C$82))*($B$82*$B$82)))</f>
        <v>204.29252421683091</v>
      </c>
      <c r="R45" s="24">
        <f t="shared" si="3"/>
        <v>98.991413759228749</v>
      </c>
      <c r="S45" s="24">
        <f t="shared" si="4"/>
        <v>10.752238116675311</v>
      </c>
      <c r="T45" s="25">
        <f>$K45/(($C$83*(1-$C$83))+(($K45-1)*($C$83*$C$83)*((1-$C$83)*(1-$C$83))*($B$83*$B$83)))</f>
        <v>205.1118938217885</v>
      </c>
      <c r="U45" s="24">
        <f t="shared" si="5"/>
        <v>99.692917591905555</v>
      </c>
      <c r="V45" s="24">
        <f t="shared" si="6"/>
        <v>10.79536283272571</v>
      </c>
      <c r="W45" s="25">
        <f>$K45/(($C$84*(1-$C$84))+(($K45-1)*($C$84*$C$84)*((1-$C$84)*(1-$C$84))*($B$84*$B$84)))</f>
        <v>205.7534673400572</v>
      </c>
      <c r="X45" s="24">
        <f t="shared" si="7"/>
        <v>100.23955891551802</v>
      </c>
      <c r="Y45" s="24">
        <f t="shared" si="8"/>
        <v>10.829129860003009</v>
      </c>
      <c r="Z45" s="25">
        <f>$K45/(($C$85*(1-$C$85))+(($K45-1)*($C$85*$C$85)*((1-$C$85)*(1-$C$85))*($B$85*$B$85)))</f>
        <v>206.26475816718732</v>
      </c>
      <c r="AA45" s="24">
        <f t="shared" si="9"/>
        <v>100.67417492454915</v>
      </c>
      <c r="AB45" s="24">
        <f t="shared" si="10"/>
        <v>10.856039903536175</v>
      </c>
      <c r="AC45" s="25">
        <f>$K45/(($C$86*(1-$C$86))+(($K45-1)*($C$86*$C$86)*((1-$C$86)*(1-$C$86))*($B$86*$B$86)))</f>
        <v>206.67827285342773</v>
      </c>
      <c r="AD45" s="24">
        <f t="shared" si="11"/>
        <v>101.02502515645722</v>
      </c>
      <c r="AE45" s="24">
        <f t="shared" si="12"/>
        <v>10.877803834390933</v>
      </c>
      <c r="AF45" s="25">
        <f>$K45/(($C$87*(1-$C$87))+(($K45-1)*($C$87*$C$87)*((1-$C$87)*(1-$C$87))*($B$87*$B$87)))</f>
        <v>207.01674186922622</v>
      </c>
      <c r="AG45" s="24">
        <f t="shared" si="13"/>
        <v>101.3117725101479</v>
      </c>
      <c r="AH45" s="24">
        <f t="shared" si="14"/>
        <v>10.895617993117169</v>
      </c>
      <c r="AI45" s="25">
        <f>$K45/(($C$88*(1-$C$88))+(($K45-1)*($C$88*$C$88)*((1-$C$88)*(1-$C$88))*($B$88*$B$88)))</f>
        <v>207.29652737014322</v>
      </c>
      <c r="AJ45" s="24">
        <f t="shared" si="15"/>
        <v>101.54851431131974</v>
      </c>
      <c r="AK45" s="24">
        <f t="shared" si="16"/>
        <v>10.91034354579701</v>
      </c>
      <c r="AL45" s="25">
        <f>$K45/(($C$89*(1-$C$89))+(($K45-1)*($C$89*$C$89)*((1-$C$89)*(1-$C$89))*($B$89*$B$89)))</f>
        <v>207.52970132801062</v>
      </c>
      <c r="AM45" s="24">
        <f t="shared" si="17"/>
        <v>101.74561681023165</v>
      </c>
      <c r="AN45" s="24">
        <f t="shared" si="18"/>
        <v>10.92261585936898</v>
      </c>
      <c r="AO45" s="25">
        <f>$K45/(($C$90*(1-$C$90))+(($K45-1)*($C$90*$C$90)*((1-$C$90)*(1-$C$90))*($B$90*$B$90)))</f>
        <v>207.72536062816516</v>
      </c>
      <c r="AP45" s="24">
        <f t="shared" si="19"/>
        <v>101.91086952261463</v>
      </c>
      <c r="AQ45" s="24">
        <f t="shared" si="20"/>
        <v>10.93291371727185</v>
      </c>
      <c r="AR45" s="25">
        <f>$K45/(($C$91*(1-$C$91))+(($K45-1)*($C$91*$C$91)*((1-$C$91)*(1-$C$91))*($B$91*$B$91)))</f>
        <v>207.89048651793834</v>
      </c>
      <c r="AS45" s="24">
        <f t="shared" si="21"/>
        <v>102.05023602050237</v>
      </c>
      <c r="AT45" s="24">
        <f t="shared" si="22"/>
        <v>10.941604553575702</v>
      </c>
      <c r="AU45" s="25">
        <f>$K45/(($C$92*(1-$C$92))+(($K45-1)*($C$92*$C$92)*((1-$C$92)*(1-$C$92))*($B$92*$B$92)))</f>
        <v>208.03052225794616</v>
      </c>
      <c r="AV45" s="24">
        <f t="shared" si="23"/>
        <v>102.16835649649163</v>
      </c>
      <c r="AW45" s="24">
        <f t="shared" si="24"/>
        <v>10.948974855681376</v>
      </c>
      <c r="AX45" s="25">
        <f>$K45/(($C$93*(1-$C$93))+(($K45-1)*($C$93*$C$93)*((1-$C$93)*(1-$C$93))*($B$93*$B$93)))</f>
        <v>208.14977107844754</v>
      </c>
      <c r="AY45" s="24">
        <f t="shared" si="25"/>
        <v>102.26889277139264</v>
      </c>
      <c r="AZ45" s="24">
        <f t="shared" si="26"/>
        <v>10.955251109391975</v>
      </c>
      <c r="BA45" s="25">
        <f>$K45/(($C$94*(1-$C$94))+(($K45-1)*($C$94*$C$94)*((1-$C$94)*(1-$C$94))*($B$94*$B$94)))</f>
        <v>208.25167641700688</v>
      </c>
      <c r="BB45" s="24">
        <f t="shared" si="27"/>
        <v>102.35477049791835</v>
      </c>
      <c r="BC45" s="24">
        <f t="shared" si="28"/>
        <v>10.96061454826352</v>
      </c>
      <c r="BD45" s="25">
        <f>$K45/(($C$95*(1-$C$95))+(($K45-1)*($C$95*$C$95)*((1-$C$95)*(1-$C$95))*($B$95*$B$95)))</f>
        <v>208.3390231693601</v>
      </c>
      <c r="BE45" s="24">
        <f t="shared" si="29"/>
        <v>102.42835262527558</v>
      </c>
      <c r="BF45" s="24">
        <f t="shared" si="30"/>
        <v>10.965211745755795</v>
      </c>
      <c r="BG45" s="25">
        <f>$K45/(($C$96*(1-$C$96))+(($K45-1)*($C$96*$C$96)*((1-$C$96)*(1-$C$96))*($B$96*$B$96)))</f>
        <v>208.41408479414116</v>
      </c>
      <c r="BH45" s="24">
        <f t="shared" si="31"/>
        <v>102.49156588704822</v>
      </c>
      <c r="BI45" s="24">
        <f t="shared" si="32"/>
        <v>10.969162357586375</v>
      </c>
      <c r="BJ45" s="25">
        <f>$K45/(($C$97*(1-$C$97))+(($K45-1)*($C$97*$C$97)*((1-$C$97)*(1-$C$97))*($B$97*$B$97)))</f>
        <v>208.47873257658841</v>
      </c>
      <c r="BK45" s="24">
        <f t="shared" si="33"/>
        <v>102.5459945480447</v>
      </c>
      <c r="BL45" s="24">
        <f t="shared" si="34"/>
        <v>10.972564872452022</v>
      </c>
      <c r="BM45" s="25">
        <f>$K45/(($C$98*(1-$C$98))+(($K45-1)*($C$98*$C$98)*((1-$C$98)*(1-$C$98))*($B$98*$B$98)))</f>
        <v>208.5345179793936</v>
      </c>
      <c r="BN45" s="24">
        <f t="shared" si="35"/>
        <v>102.59295092227383</v>
      </c>
      <c r="BO45" s="24">
        <f t="shared" si="36"/>
        <v>10.975500946283873</v>
      </c>
      <c r="BP45" s="25">
        <f>$K45/(($C$99*(1-$C$99))+(($K45-1)*($C$99*$C$99)*((1-$C$99)*(1-$C$99))*($B$99*$B$99)))</f>
        <v>208.58273554469986</v>
      </c>
      <c r="BQ45" s="24">
        <f t="shared" si="37"/>
        <v>102.63352914131575</v>
      </c>
      <c r="BR45" s="24">
        <f t="shared" si="38"/>
        <v>10.97803871287894</v>
      </c>
      <c r="BS45" s="49">
        <f>$K45/(($C$100*(1-$C$100))+(($K45-1)*($C$100*$C$100)*((1-$C$100)*(1-$C$100))*($B$100*$B$100)))</f>
        <v>208.62207321941719</v>
      </c>
      <c r="BT45" s="50">
        <f t="shared" si="39"/>
        <v>102.67224514614145</v>
      </c>
      <c r="BU45" s="50">
        <f t="shared" si="40"/>
        <v>10.98010911681143</v>
      </c>
      <c r="BV45" s="49"/>
      <c r="BW45" s="50">
        <f t="shared" si="41"/>
        <v>0.97332852678457515</v>
      </c>
      <c r="BX45" s="24"/>
      <c r="BY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</row>
    <row r="46" spans="1:255" x14ac:dyDescent="0.15">
      <c r="A46" s="111">
        <v>1400</v>
      </c>
      <c r="B46" s="112">
        <v>13.14</v>
      </c>
      <c r="C46" s="111">
        <v>2</v>
      </c>
      <c r="D46" s="114">
        <f t="shared" si="42"/>
        <v>25</v>
      </c>
      <c r="E46" s="113">
        <f t="shared" si="43"/>
        <v>0.08</v>
      </c>
      <c r="F46" s="110">
        <f t="shared" si="44"/>
        <v>20.590281587544091</v>
      </c>
      <c r="G46" s="110">
        <f>IF(C46=0,F46*SQRT((1/(0.5+C46))+(1/(0.5+D46))),F46*SQRT((1/C46)+(1/D46)))</f>
        <v>15.130705064911975</v>
      </c>
      <c r="H46" s="24">
        <f>($C$54*(C46+D46))/($C$54+$D$54)</f>
        <v>2.7321428571428572</v>
      </c>
      <c r="I46" s="24">
        <f>($D$54*(C46+D46))/($C$54+$D$54)</f>
        <v>24.267857142857142</v>
      </c>
      <c r="J46" s="24">
        <f>(((C46-H46)^2)/H46)+(((D46-I46)^2)/I46)</f>
        <v>0.21828333982599671</v>
      </c>
      <c r="K46" s="29">
        <f>C46+D46</f>
        <v>27</v>
      </c>
      <c r="L46" s="24">
        <f>C46/K46</f>
        <v>7.407407407407407E-2</v>
      </c>
      <c r="M46" s="24">
        <f>LOG((C46+0.5)/(D46+0.5))</f>
        <v>-1.0086001717619175</v>
      </c>
      <c r="N46" s="25">
        <f t="shared" si="0"/>
        <v>285.98034207491901</v>
      </c>
      <c r="O46" s="24">
        <f t="shared" si="1"/>
        <v>60.136270911008531</v>
      </c>
      <c r="P46" s="24">
        <f t="shared" si="45"/>
        <v>21.183729042586592</v>
      </c>
      <c r="Q46" s="25">
        <f>$K46/(($C$82*(1-$C$82))+(($K46-1)*($C$82*$C$82)*((1-$C$82)*(1-$C$82))*($B$82*$B$82)))</f>
        <v>287.64529793790547</v>
      </c>
      <c r="R46" s="24">
        <f t="shared" si="3"/>
        <v>61.482096925778954</v>
      </c>
      <c r="S46" s="24">
        <f t="shared" si="4"/>
        <v>21.307059106511517</v>
      </c>
      <c r="T46" s="25">
        <f>$K46/(($C$83*(1-$C$83))+(($K46-1)*($C$83*$C$83)*((1-$C$83)*(1-$C$83))*($B$83*$B$83)))</f>
        <v>289.27404139690373</v>
      </c>
      <c r="U46" s="24">
        <f t="shared" si="5"/>
        <v>62.075534036750632</v>
      </c>
      <c r="V46" s="24">
        <f t="shared" si="6"/>
        <v>21.427706770141015</v>
      </c>
      <c r="W46" s="25">
        <f>$K46/(($C$84*(1-$C$84))+(($K46-1)*($C$84*$C$84)*((1-$C$84)*(1-$C$84))*($B$84*$B$84)))</f>
        <v>290.55193030438733</v>
      </c>
      <c r="X46" s="24">
        <f t="shared" si="7"/>
        <v>62.538180818460773</v>
      </c>
      <c r="Y46" s="24">
        <f t="shared" si="8"/>
        <v>21.522365207732392</v>
      </c>
      <c r="Z46" s="25">
        <f>$K46/(($C$85*(1-$C$85))+(($K46-1)*($C$85*$C$85)*((1-$C$85)*(1-$C$85))*($B$85*$B$85)))</f>
        <v>291.57211237331785</v>
      </c>
      <c r="AA46" s="24">
        <f t="shared" si="9"/>
        <v>62.906386369612193</v>
      </c>
      <c r="AB46" s="24">
        <f t="shared" si="10"/>
        <v>21.597934249875394</v>
      </c>
      <c r="AC46" s="25">
        <f>$K46/(($C$86*(1-$C$86))+(($K46-1)*($C$86*$C$86)*((1-$C$86)*(1-$C$86))*($B$86*$B$86)))</f>
        <v>292.39836752691593</v>
      </c>
      <c r="AD46" s="24">
        <f t="shared" si="11"/>
        <v>63.203866656392201</v>
      </c>
      <c r="AE46" s="24">
        <f t="shared" si="12"/>
        <v>21.659138335327103</v>
      </c>
      <c r="AF46" s="25">
        <f>$K46/(($C$87*(1-$C$87))+(($K46-1)*($C$87*$C$87)*((1-$C$87)*(1-$C$87))*($B$87*$B$87)))</f>
        <v>293.07545057916752</v>
      </c>
      <c r="AG46" s="24">
        <f t="shared" si="13"/>
        <v>63.447155488210001</v>
      </c>
      <c r="AH46" s="24">
        <f t="shared" si="14"/>
        <v>21.709292635493888</v>
      </c>
      <c r="AI46" s="25">
        <f>$K46/(($C$88*(1-$C$88))+(($K46-1)*($C$88*$C$88)*((1-$C$88)*(1-$C$88))*($B$88*$B$88)))</f>
        <v>293.63567202248231</v>
      </c>
      <c r="AJ46" s="24">
        <f t="shared" si="15"/>
        <v>63.648126465763262</v>
      </c>
      <c r="AK46" s="24">
        <f t="shared" si="16"/>
        <v>21.750790520183873</v>
      </c>
      <c r="AL46" s="25">
        <f>$K46/(($C$89*(1-$C$89))+(($K46-1)*($C$89*$C$89)*((1-$C$89)*(1-$C$89))*($B$89*$B$89)))</f>
        <v>294.10292964378107</v>
      </c>
      <c r="AM46" s="24">
        <f t="shared" si="17"/>
        <v>63.815522909332579</v>
      </c>
      <c r="AN46" s="24">
        <f t="shared" si="18"/>
        <v>21.785402195835633</v>
      </c>
      <c r="AO46" s="25">
        <f>$K46/(($C$90*(1-$C$90))+(($K46-1)*($C$90*$C$90)*((1-$C$90)*(1-$C$90))*($B$90*$B$90)))</f>
        <v>294.49526992314702</v>
      </c>
      <c r="AP46" s="24">
        <f t="shared" si="19"/>
        <v>63.955922694938856</v>
      </c>
      <c r="AQ46" s="24">
        <f t="shared" si="20"/>
        <v>21.814464438751632</v>
      </c>
      <c r="AR46" s="25">
        <f>$K46/(($C$91*(1-$C$91))+(($K46-1)*($C$91*$C$91)*((1-$C$91)*(1-$C$91))*($B$91*$B$91)))</f>
        <v>294.82656763378111</v>
      </c>
      <c r="AS46" s="24">
        <f t="shared" si="21"/>
        <v>64.074366981277507</v>
      </c>
      <c r="AT46" s="24">
        <f t="shared" si="22"/>
        <v>21.839005009909712</v>
      </c>
      <c r="AU46" s="25">
        <f>$K46/(($C$92*(1-$C$92))+(($K46-1)*($C$92*$C$92)*((1-$C$92)*(1-$C$92))*($B$92*$B$92)))</f>
        <v>295.10765804265736</v>
      </c>
      <c r="AV46" s="24">
        <f t="shared" si="23"/>
        <v>64.174781757879359</v>
      </c>
      <c r="AW46" s="24">
        <f t="shared" si="24"/>
        <v>21.859826521678322</v>
      </c>
      <c r="AX46" s="25">
        <f>$K46/(($C$93*(1-$C$93))+(($K46-1)*($C$93*$C$93)*((1-$C$93)*(1-$C$93))*($B$93*$B$93)))</f>
        <v>295.3471189124723</v>
      </c>
      <c r="AY46" s="24">
        <f t="shared" si="25"/>
        <v>64.260267651655838</v>
      </c>
      <c r="AZ46" s="24">
        <f t="shared" si="26"/>
        <v>21.877564363886837</v>
      </c>
      <c r="BA46" s="25">
        <f>$K46/(($C$94*(1-$C$94))+(($K46-1)*($C$94*$C$94)*((1-$C$94)*(1-$C$94))*($B$94*$B$94)))</f>
        <v>295.55182243358962</v>
      </c>
      <c r="BB46" s="24">
        <f t="shared" si="27"/>
        <v>64.333303636821284</v>
      </c>
      <c r="BC46" s="24">
        <f t="shared" si="28"/>
        <v>21.892727587673303</v>
      </c>
      <c r="BD46" s="25">
        <f>$K46/(($C$95*(1-$C$95))+(($K46-1)*($C$95*$C$95)*((1-$C$95)*(1-$C$95))*($B$95*$B$95)))</f>
        <v>295.72733239499121</v>
      </c>
      <c r="BE46" s="24">
        <f t="shared" si="29"/>
        <v>64.395893096144874</v>
      </c>
      <c r="BF46" s="24">
        <f t="shared" si="30"/>
        <v>21.905728325554904</v>
      </c>
      <c r="BG46" s="25">
        <f>$K46/(($C$96*(1-$C$96))+(($K46-1)*($C$96*$C$96)*((1-$C$96)*(1-$C$96))*($B$96*$B$96)))</f>
        <v>295.87819502704042</v>
      </c>
      <c r="BH46" s="24">
        <f t="shared" si="31"/>
        <v>64.449670435475937</v>
      </c>
      <c r="BI46" s="24">
        <f t="shared" si="32"/>
        <v>21.916903335336325</v>
      </c>
      <c r="BJ46" s="25">
        <f>$K46/(($C$97*(1-$C$97))+(($K46-1)*($C$97*$C$97)*((1-$C$97)*(1-$C$97))*($B$97*$B$97)))</f>
        <v>296.00815538499563</v>
      </c>
      <c r="BK46" s="24">
        <f t="shared" si="33"/>
        <v>64.495980174465373</v>
      </c>
      <c r="BL46" s="24">
        <f t="shared" si="34"/>
        <v>21.926530028518194</v>
      </c>
      <c r="BM46" s="25">
        <f>$K46/(($C$98*(1-$C$98))+(($K46-1)*($C$98*$C$98)*((1-$C$98)*(1-$C$98))*($B$98*$B$98)))</f>
        <v>296.12032067983932</v>
      </c>
      <c r="BN46" s="24">
        <f t="shared" si="35"/>
        <v>64.535936490035198</v>
      </c>
      <c r="BO46" s="24">
        <f t="shared" si="36"/>
        <v>21.934838568876987</v>
      </c>
      <c r="BP46" s="25">
        <f>$K46/(($C$99*(1-$C$99))+(($K46-1)*($C$99*$C$99)*((1-$C$99)*(1-$C$99))*($B$99*$B$99)))</f>
        <v>296.21728520632257</v>
      </c>
      <c r="BQ46" s="24">
        <f t="shared" si="37"/>
        <v>64.57046865187931</v>
      </c>
      <c r="BR46" s="24">
        <f t="shared" si="38"/>
        <v>21.942021126394263</v>
      </c>
      <c r="BS46" s="49">
        <f>$K46/(($C$100*(1-$C$100))+(($K46-1)*($C$100*$C$100)*((1-$C$100)*(1-$C$100))*($B$100*$B$100)))</f>
        <v>296.29793435173303</v>
      </c>
      <c r="BT46" s="50">
        <f t="shared" si="39"/>
        <v>64.605633797796685</v>
      </c>
      <c r="BU46" s="50">
        <f t="shared" si="40"/>
        <v>21.94799513716541</v>
      </c>
      <c r="BV46" s="49"/>
      <c r="BW46" s="50">
        <f t="shared" si="41"/>
        <v>1.3608276348795434</v>
      </c>
      <c r="BX46" s="24"/>
      <c r="BY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</row>
    <row r="47" spans="1:255" x14ac:dyDescent="0.15">
      <c r="A47" s="111">
        <v>1800</v>
      </c>
      <c r="B47" s="112">
        <v>16.285567229912512</v>
      </c>
      <c r="C47" s="111">
        <v>4</v>
      </c>
      <c r="D47" s="114">
        <f t="shared" si="42"/>
        <v>39</v>
      </c>
      <c r="E47" s="113">
        <f t="shared" si="43"/>
        <v>0.10256410256410256</v>
      </c>
      <c r="F47" s="110">
        <f t="shared" si="44"/>
        <v>26.385925910240008</v>
      </c>
      <c r="G47" s="110">
        <f>IF(C47=0,F47*SQRT((1/(0.5+C47))+(1/(0.5+D47))),F47*SQRT((1/C47)+(1/D47)))</f>
        <v>13.853013812619331</v>
      </c>
      <c r="H47" s="24">
        <f>($C$54*(C47+D47))/($C$54+$D$54)</f>
        <v>4.3511904761904763</v>
      </c>
      <c r="I47" s="24">
        <f>($D$54*(C47+D47))/($C$54+$D$54)</f>
        <v>38.648809523809526</v>
      </c>
      <c r="J47" s="24">
        <f>(((C47-H47)^2)/H47)+(((D47-I47)^2)/I47)</f>
        <v>3.1536224531395783E-2</v>
      </c>
      <c r="K47" s="29">
        <f>C47+D47</f>
        <v>43</v>
      </c>
      <c r="L47" s="24">
        <f>C47/K47</f>
        <v>9.3023255813953487E-2</v>
      </c>
      <c r="M47" s="24">
        <f>LOG((C47+0.5)/(D47+0.5))</f>
        <v>-0.94338458185111662</v>
      </c>
      <c r="N47" s="25">
        <f t="shared" si="0"/>
        <v>445.40198399020505</v>
      </c>
      <c r="O47" s="24">
        <f t="shared" si="1"/>
        <v>13.232833348029423</v>
      </c>
      <c r="P47" s="24">
        <f t="shared" si="45"/>
        <v>41.432742696763263</v>
      </c>
      <c r="Q47" s="25">
        <f>$K47/(($C$82*(1-$C$82))+(($K47-1)*($C$82*$C$82)*((1-$C$82)*(1-$C$82))*($B$82*$B$82)))</f>
        <v>449.84241162498313</v>
      </c>
      <c r="R47" s="24">
        <f t="shared" si="3"/>
        <v>13.974963124871129</v>
      </c>
      <c r="S47" s="24">
        <f t="shared" si="4"/>
        <v>41.84580573255657</v>
      </c>
      <c r="T47" s="25">
        <f>$K47/(($C$83*(1-$C$83))+(($K47-1)*($C$83*$C$83)*((1-$C$83)*(1-$C$83))*($B$83*$B$83)))</f>
        <v>453.84230194317109</v>
      </c>
      <c r="U47" s="24">
        <f t="shared" si="5"/>
        <v>14.146027695913514</v>
      </c>
      <c r="V47" s="24">
        <f t="shared" si="6"/>
        <v>42.217888552853125</v>
      </c>
      <c r="W47" s="25">
        <f>$K47/(($C$84*(1-$C$84))+(($K47-1)*($C$84*$C$84)*((1-$C$84)*(1-$C$84))*($B$84*$B$84)))</f>
        <v>456.99601898211739</v>
      </c>
      <c r="X47" s="24">
        <f t="shared" si="7"/>
        <v>14.277866602380588</v>
      </c>
      <c r="Y47" s="24">
        <f t="shared" si="8"/>
        <v>42.511257579731847</v>
      </c>
      <c r="Z47" s="25">
        <f>$K47/(($C$85*(1-$C$85))+(($K47-1)*($C$85*$C$85)*((1-$C$85)*(1-$C$85))*($B$85*$B$85)))</f>
        <v>459.52393358634839</v>
      </c>
      <c r="AA47" s="24">
        <f t="shared" si="9"/>
        <v>14.382171295455688</v>
      </c>
      <c r="AB47" s="24">
        <f t="shared" si="10"/>
        <v>42.746412426637058</v>
      </c>
      <c r="AC47" s="25">
        <f>$K47/(($C$86*(1-$C$86))+(($K47-1)*($C$86*$C$86)*((1-$C$86)*(1-$C$86))*($B$86*$B$86)))</f>
        <v>461.57798974465601</v>
      </c>
      <c r="AD47" s="24">
        <f t="shared" si="11"/>
        <v>14.466034889214262</v>
      </c>
      <c r="AE47" s="24">
        <f t="shared" si="12"/>
        <v>42.937487418107537</v>
      </c>
      <c r="AF47" s="25">
        <f>$K47/(($C$87*(1-$C$87))+(($K47-1)*($C$87*$C$87)*((1-$C$87)*(1-$C$87))*($B$87*$B$87)))</f>
        <v>463.26568069454879</v>
      </c>
      <c r="AG47" s="24">
        <f t="shared" si="13"/>
        <v>14.534349114290386</v>
      </c>
      <c r="AH47" s="24">
        <f t="shared" si="14"/>
        <v>43.094481925074305</v>
      </c>
      <c r="AI47" s="25">
        <f>$K47/(($C$88*(1-$C$88))+(($K47-1)*($C$88*$C$88)*((1-$C$88)*(1-$C$88))*($B$88*$B$88)))</f>
        <v>464.66514214144155</v>
      </c>
      <c r="AJ47" s="24">
        <f t="shared" si="15"/>
        <v>14.590594854570512</v>
      </c>
      <c r="AK47" s="24">
        <f t="shared" si="16"/>
        <v>43.224664385250378</v>
      </c>
      <c r="AL47" s="25">
        <f>$K47/(($C$89*(1-$C$89))+(($K47-1)*($C$89*$C$89)*((1-$C$89)*(1-$C$89))*($B$89*$B$89)))</f>
        <v>465.83450058294045</v>
      </c>
      <c r="AM47" s="24">
        <f t="shared" si="17"/>
        <v>14.637315063199258</v>
      </c>
      <c r="AN47" s="24">
        <f t="shared" si="18"/>
        <v>43.333441914692138</v>
      </c>
      <c r="AO47" s="25">
        <f>$K47/(($C$90*(1-$C$90))+(($K47-1)*($C$90*$C$90)*((1-$C$90)*(1-$C$90))*($B$90*$B$90)))</f>
        <v>466.81786795255346</v>
      </c>
      <c r="AP47" s="24">
        <f t="shared" si="19"/>
        <v>14.676409721497519</v>
      </c>
      <c r="AQ47" s="24">
        <f t="shared" si="20"/>
        <v>43.424917949074739</v>
      </c>
      <c r="AR47" s="25">
        <f>$K47/(($C$91*(1-$C$91))+(($K47-1)*($C$91*$C$91)*((1-$C$91)*(1-$C$91))*($B$91*$B$91)))</f>
        <v>467.64930389084691</v>
      </c>
      <c r="AS47" s="24">
        <f t="shared" si="21"/>
        <v>14.709326173935942</v>
      </c>
      <c r="AT47" s="24">
        <f t="shared" si="22"/>
        <v>43.502260827055522</v>
      </c>
      <c r="AU47" s="25">
        <f>$K47/(($C$92*(1-$C$92))+(($K47-1)*($C$92*$C$92)*((1-$C$92)*(1-$C$92))*($B$92*$B$92)))</f>
        <v>468.35550514467548</v>
      </c>
      <c r="AV47" s="24">
        <f t="shared" si="23"/>
        <v>14.737185635726361</v>
      </c>
      <c r="AW47" s="24">
        <f t="shared" si="24"/>
        <v>43.567953966946554</v>
      </c>
      <c r="AX47" s="25">
        <f>$K47/(($C$93*(1-$C$93))+(($K47-1)*($C$93*$C$93)*((1-$C$93)*(1-$C$93))*($B$93*$B$93)))</f>
        <v>468.9576743733308</v>
      </c>
      <c r="AY47" s="24">
        <f t="shared" si="25"/>
        <v>14.760869487136715</v>
      </c>
      <c r="AZ47" s="24">
        <f t="shared" si="26"/>
        <v>43.623969709147048</v>
      </c>
      <c r="BA47" s="25">
        <f>$K47/(($C$94*(1-$C$94))+(($K47-1)*($C$94*$C$94)*((1-$C$94)*(1-$C$94))*($B$94*$B$94)))</f>
        <v>469.47284621487091</v>
      </c>
      <c r="BB47" s="24">
        <f t="shared" si="27"/>
        <v>14.781079504907652</v>
      </c>
      <c r="BC47" s="24">
        <f t="shared" si="28"/>
        <v>43.671892671150779</v>
      </c>
      <c r="BD47" s="25">
        <f>$K47/(($C$95*(1-$C$95))+(($K47-1)*($C$95*$C$95)*((1-$C$95)*(1-$C$95))*($B$95*$B$95)))</f>
        <v>469.91484609322748</v>
      </c>
      <c r="BE47" s="24">
        <f t="shared" si="29"/>
        <v>14.798380773049869</v>
      </c>
      <c r="BF47" s="24">
        <f t="shared" si="30"/>
        <v>43.713008938904885</v>
      </c>
      <c r="BG47" s="25">
        <f>$K47/(($C$96*(1-$C$96))+(($K47-1)*($C$96*$C$96)*((1-$C$96)*(1-$C$96))*($B$96*$B$96)))</f>
        <v>470.29499536117436</v>
      </c>
      <c r="BH47" s="24">
        <f t="shared" si="31"/>
        <v>14.81323282242362</v>
      </c>
      <c r="BI47" s="24">
        <f t="shared" si="32"/>
        <v>43.748371661504592</v>
      </c>
      <c r="BJ47" s="25">
        <f>$K47/(($C$97*(1-$C$97))+(($K47-1)*($C$97*$C$97)*((1-$C$97)*(1-$C$97))*($B$97*$B$97)))</f>
        <v>470.62263796098006</v>
      </c>
      <c r="BK47" s="24">
        <f t="shared" si="33"/>
        <v>14.826012608035137</v>
      </c>
      <c r="BL47" s="24">
        <f t="shared" si="34"/>
        <v>43.778850042881864</v>
      </c>
      <c r="BM47" s="25">
        <f>$K47/(($C$98*(1-$C$98))+(($K47-1)*($C$98*$C$98)*((1-$C$98)*(1-$C$98))*($B$98*$B$98)))</f>
        <v>470.90553936667413</v>
      </c>
      <c r="BN47" s="24">
        <f t="shared" si="35"/>
        <v>14.837031722595343</v>
      </c>
      <c r="BO47" s="24">
        <f t="shared" si="36"/>
        <v>43.80516645271387</v>
      </c>
      <c r="BP47" s="25">
        <f>$K47/(($C$99*(1-$C$99))+(($K47-1)*($C$99*$C$99)*((1-$C$99)*(1-$C$99))*($B$99*$B$99)))</f>
        <v>471.15019271264833</v>
      </c>
      <c r="BQ47" s="24">
        <f t="shared" si="37"/>
        <v>14.846549472086716</v>
      </c>
      <c r="BR47" s="24">
        <f t="shared" si="38"/>
        <v>43.827924903502172</v>
      </c>
      <c r="BS47" s="49">
        <f>$K47/(($C$100*(1-$C$100))+(($K47-1)*($C$100*$C$100)*((1-$C$100)*(1-$C$100))*($B$100*$B$100)))</f>
        <v>471.35717896371966</v>
      </c>
      <c r="BT47" s="50">
        <f t="shared" si="39"/>
        <v>14.859597144306859</v>
      </c>
      <c r="BU47" s="50">
        <f t="shared" si="40"/>
        <v>43.847179438485547</v>
      </c>
      <c r="BV47" s="49"/>
      <c r="BW47" s="50">
        <f t="shared" si="41"/>
        <v>1.904706532971467</v>
      </c>
      <c r="BX47" s="24"/>
      <c r="BY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</row>
    <row r="48" spans="1:255" x14ac:dyDescent="0.15">
      <c r="A48" s="111">
        <v>2000</v>
      </c>
      <c r="B48" s="112">
        <v>19.360000000000003</v>
      </c>
      <c r="C48" s="111">
        <v>8</v>
      </c>
      <c r="D48" s="114">
        <f t="shared" si="42"/>
        <v>52</v>
      </c>
      <c r="E48" s="113">
        <f t="shared" si="43"/>
        <v>0.15384615384615385</v>
      </c>
      <c r="F48" s="110">
        <f t="shared" si="44"/>
        <v>39.538498816827982</v>
      </c>
      <c r="G48" s="110">
        <f>IF(C48=0,F48*SQRT((1/(0.5+C48))+(1/(0.5+D48))),F48*SQRT((1/C48)+(1/D48)))</f>
        <v>15.015822850197251</v>
      </c>
      <c r="H48" s="24">
        <f>($C$54*(C48+D48))/($C$54+$D$54)</f>
        <v>6.0714285714285712</v>
      </c>
      <c r="I48" s="24">
        <f>($D$54*(C48+D48))/($C$54+$D$54)</f>
        <v>53.928571428571431</v>
      </c>
      <c r="J48" s="24">
        <f>(((C48-H48)^2)/H48)+(((D48-I48)^2)/I48)</f>
        <v>0.68157382158161317</v>
      </c>
      <c r="K48" s="29">
        <f>C48+D48</f>
        <v>60</v>
      </c>
      <c r="L48" s="24">
        <f>C48/K48</f>
        <v>0.13333333333333333</v>
      </c>
      <c r="M48" s="24">
        <f>LOG((C48+0.5)/(D48+0.5))</f>
        <v>-0.79074037769166416</v>
      </c>
      <c r="N48" s="25">
        <f t="shared" si="0"/>
        <v>607.25644897944449</v>
      </c>
      <c r="O48" s="24">
        <f t="shared" si="1"/>
        <v>380.98969363516699</v>
      </c>
      <c r="P48" s="24">
        <f t="shared" si="45"/>
        <v>80.967526530592593</v>
      </c>
      <c r="Q48" s="25">
        <f>$K48/(($C$82*(1-$C$82))+(($K48-1)*($C$82*$C$82)*((1-$C$82)*(1-$C$82))*($B$82*$B$82)))</f>
        <v>615.88888776037982</v>
      </c>
      <c r="R48" s="24">
        <f t="shared" si="3"/>
        <v>388.41820009845867</v>
      </c>
      <c r="S48" s="24">
        <f t="shared" si="4"/>
        <v>82.118518368050644</v>
      </c>
      <c r="T48" s="25">
        <f>$K48/(($C$83*(1-$C$83))+(($K48-1)*($C$83*$C$83)*((1-$C$83)*(1-$C$83))*($B$83*$B$83)))</f>
        <v>623.41467044826607</v>
      </c>
      <c r="U48" s="24">
        <f t="shared" si="5"/>
        <v>398.54047764613489</v>
      </c>
      <c r="V48" s="24">
        <f t="shared" si="6"/>
        <v>83.121956059768806</v>
      </c>
      <c r="W48" s="25">
        <f>$K48/(($C$84*(1-$C$84))+(($K48-1)*($C$84*$C$84)*((1-$C$84)*(1-$C$84))*($B$84*$B$84)))</f>
        <v>629.38114531726285</v>
      </c>
      <c r="X48" s="24">
        <f t="shared" si="7"/>
        <v>406.68588619010046</v>
      </c>
      <c r="Y48" s="24">
        <f t="shared" si="8"/>
        <v>83.917486042301718</v>
      </c>
      <c r="Z48" s="25">
        <f>$K48/(($C$85*(1-$C$85))+(($K48-1)*($C$85*$C$85)*((1-$C$85)*(1-$C$85))*($B$85*$B$85)))</f>
        <v>634.18502501022272</v>
      </c>
      <c r="AA48" s="24">
        <f t="shared" si="9"/>
        <v>413.31751739940159</v>
      </c>
      <c r="AB48" s="24">
        <f t="shared" si="10"/>
        <v>84.558003334696366</v>
      </c>
      <c r="AC48" s="25">
        <f>$K48/(($C$86*(1-$C$86))+(($K48-1)*($C$86*$C$86)*((1-$C$86)*(1-$C$86))*($B$86*$B$86)))</f>
        <v>638.10249470915289</v>
      </c>
      <c r="AD48" s="24">
        <f t="shared" si="11"/>
        <v>418.77393704594658</v>
      </c>
      <c r="AE48" s="24">
        <f t="shared" si="12"/>
        <v>85.080332627887046</v>
      </c>
      <c r="AF48" s="25">
        <f>$K48/(($C$87*(1-$C$87))+(($K48-1)*($C$87*$C$87)*((1-$C$87)*(1-$C$87))*($B$87*$B$87)))</f>
        <v>641.3307313719107</v>
      </c>
      <c r="AG48" s="24">
        <f t="shared" si="13"/>
        <v>423.30307692808401</v>
      </c>
      <c r="AH48" s="24">
        <f t="shared" si="14"/>
        <v>85.51076418292142</v>
      </c>
      <c r="AI48" s="25">
        <f>$K48/(($C$88*(1-$C$88))+(($K48-1)*($C$88*$C$88)*((1-$C$88)*(1-$C$88))*($B$88*$B$88)))</f>
        <v>644.01416115548761</v>
      </c>
      <c r="AJ48" s="24">
        <f t="shared" si="15"/>
        <v>427.09036091944068</v>
      </c>
      <c r="AK48" s="24">
        <f t="shared" si="16"/>
        <v>85.868554820731674</v>
      </c>
      <c r="AL48" s="25">
        <f>$K48/(($C$89*(1-$C$89))+(($K48-1)*($C$89*$C$89)*((1-$C$89)*(1-$C$89))*($B$89*$B$89)))</f>
        <v>646.26092489239284</v>
      </c>
      <c r="AM48" s="24">
        <f t="shared" si="17"/>
        <v>430.27705905709081</v>
      </c>
      <c r="AN48" s="24">
        <f t="shared" si="18"/>
        <v>86.168123318985707</v>
      </c>
      <c r="AO48" s="25">
        <f>$K48/(($C$90*(1-$C$90))+(($K48-1)*($C$90*$C$90)*((1-$C$90)*(1-$C$90))*($B$90*$B$90)))</f>
        <v>648.15354790296897</v>
      </c>
      <c r="AP48" s="24">
        <f t="shared" si="19"/>
        <v>432.97256990942225</v>
      </c>
      <c r="AQ48" s="24">
        <f t="shared" si="20"/>
        <v>86.420473053729197</v>
      </c>
      <c r="AR48" s="25">
        <f>$K48/(($C$91*(1-$C$91))+(($K48-1)*($C$91*$C$91)*((1-$C$91)*(1-$C$91))*($B$91*$B$91)))</f>
        <v>649.75605614125629</v>
      </c>
      <c r="AS48" s="24">
        <f t="shared" si="21"/>
        <v>435.2628349716498</v>
      </c>
      <c r="AT48" s="24">
        <f t="shared" si="22"/>
        <v>86.634140818834169</v>
      </c>
      <c r="AU48" s="25">
        <f>$K48/(($C$92*(1-$C$92))+(($K48-1)*($C$92*$C$92)*((1-$C$92)*(1-$C$92))*($B$92*$B$92)))</f>
        <v>651.11884419971898</v>
      </c>
      <c r="AV48" s="24">
        <f t="shared" si="23"/>
        <v>437.2162273372025</v>
      </c>
      <c r="AW48" s="24">
        <f t="shared" si="24"/>
        <v>86.815845893295858</v>
      </c>
      <c r="AX48" s="25">
        <f>$K48/(($C$93*(1-$C$93))+(($K48-1)*($C$93*$C$93)*((1-$C$93)*(1-$C$93))*($B$93*$B$93)))</f>
        <v>652.28208128855374</v>
      </c>
      <c r="AY48" s="24">
        <f t="shared" si="25"/>
        <v>438.88775334629025</v>
      </c>
      <c r="AZ48" s="24">
        <f t="shared" si="26"/>
        <v>86.970944171807162</v>
      </c>
      <c r="BA48" s="25">
        <f>$K48/(($C$94*(1-$C$94))+(($K48-1)*($C$94*$C$94)*((1-$C$94)*(1-$C$94))*($B$94*$B$94)))</f>
        <v>653.2781428074685</v>
      </c>
      <c r="BB48" s="24">
        <f t="shared" si="27"/>
        <v>440.32210385614997</v>
      </c>
      <c r="BC48" s="24">
        <f t="shared" si="28"/>
        <v>87.103752374329133</v>
      </c>
      <c r="BD48" s="25">
        <f>$K48/(($C$95*(1-$C$95))+(($K48-1)*($C$95*$C$95)*((1-$C$95)*(1-$C$95))*($B$95*$B$95)))</f>
        <v>654.1333780798177</v>
      </c>
      <c r="BE48" s="24">
        <f t="shared" si="29"/>
        <v>441.55590609099346</v>
      </c>
      <c r="BF48" s="24">
        <f t="shared" si="30"/>
        <v>87.217783743975687</v>
      </c>
      <c r="BG48" s="25">
        <f>$K48/(($C$96*(1-$C$96))+(($K48-1)*($C$96*$C$96)*((1-$C$96)*(1-$C$96))*($B$96*$B$96)))</f>
        <v>654.86941679811252</v>
      </c>
      <c r="BH48" s="24">
        <f t="shared" si="31"/>
        <v>442.61941024572423</v>
      </c>
      <c r="BI48" s="24">
        <f t="shared" si="32"/>
        <v>87.315922239748332</v>
      </c>
      <c r="BJ48" s="25">
        <f>$K48/(($C$97*(1-$C$97))+(($K48-1)*($C$97*$C$97)*((1-$C$97)*(1-$C$97))*($B$97*$B$97)))</f>
        <v>655.50414912990971</v>
      </c>
      <c r="BK48" s="24">
        <f t="shared" si="33"/>
        <v>443.5377699999338</v>
      </c>
      <c r="BL48" s="24">
        <f t="shared" si="34"/>
        <v>87.400553217321288</v>
      </c>
      <c r="BM48" s="25">
        <f>$K48/(($C$98*(1-$C$98))+(($K48-1)*($C$98*$C$98)*((1-$C$98)*(1-$C$98))*($B$98*$B$98)))</f>
        <v>656.05247114848976</v>
      </c>
      <c r="BN48" s="24">
        <f t="shared" si="35"/>
        <v>444.33202696198077</v>
      </c>
      <c r="BO48" s="24">
        <f t="shared" si="36"/>
        <v>87.473662819798633</v>
      </c>
      <c r="BP48" s="25">
        <f>$K48/(($C$99*(1-$C$99))+(($K48-1)*($C$99*$C$99)*((1-$C$99)*(1-$C$99))*($B$99*$B$99)))</f>
        <v>656.52685895584511</v>
      </c>
      <c r="BQ48" s="24">
        <f t="shared" si="37"/>
        <v>445.0198762935749</v>
      </c>
      <c r="BR48" s="24">
        <f t="shared" si="38"/>
        <v>87.536914527446015</v>
      </c>
      <c r="BS48" s="49">
        <f>$K48/(($C$100*(1-$C$100))+(($K48-1)*($C$100*$C$100)*((1-$C$100)*(1-$C$100))*($B$100*$B$100)))</f>
        <v>656.93155088630647</v>
      </c>
      <c r="BT48" s="50">
        <f t="shared" si="39"/>
        <v>445.5686777847846</v>
      </c>
      <c r="BU48" s="50">
        <f t="shared" si="40"/>
        <v>87.590873451507534</v>
      </c>
      <c r="BV48" s="49"/>
      <c r="BW48" s="50">
        <f t="shared" si="41"/>
        <v>2.6331223544175333</v>
      </c>
      <c r="BX48" s="24"/>
      <c r="BY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</row>
    <row r="49" spans="1:255" s="107" customFormat="1" x14ac:dyDescent="0.15">
      <c r="A49" s="115"/>
      <c r="E49" s="116"/>
      <c r="F49" s="2"/>
      <c r="G49" s="117"/>
      <c r="H49" s="118"/>
      <c r="I49" s="118"/>
      <c r="J49" s="118"/>
      <c r="K49" s="119"/>
      <c r="L49" s="118"/>
      <c r="M49" s="118"/>
      <c r="N49" s="120"/>
      <c r="O49" s="118"/>
      <c r="P49" s="118"/>
      <c r="Q49" s="120"/>
      <c r="R49" s="118"/>
      <c r="S49" s="118"/>
      <c r="T49" s="120"/>
      <c r="U49" s="118"/>
      <c r="V49" s="118"/>
      <c r="W49" s="120"/>
      <c r="X49" s="118"/>
      <c r="Y49" s="118"/>
      <c r="Z49" s="120"/>
      <c r="AA49" s="118"/>
      <c r="AB49" s="118"/>
      <c r="AC49" s="120"/>
      <c r="AD49" s="118"/>
      <c r="AE49" s="118"/>
      <c r="AF49" s="120"/>
      <c r="AG49" s="118"/>
      <c r="AH49" s="118"/>
      <c r="AI49" s="120"/>
      <c r="AJ49" s="118"/>
      <c r="AK49" s="118"/>
      <c r="AL49" s="120"/>
      <c r="AM49" s="118"/>
      <c r="AN49" s="118"/>
      <c r="AO49" s="120"/>
      <c r="AP49" s="118"/>
      <c r="AQ49" s="118"/>
      <c r="AR49" s="120"/>
      <c r="AS49" s="118"/>
      <c r="AT49" s="118"/>
      <c r="AU49" s="120"/>
      <c r="AV49" s="118"/>
      <c r="AW49" s="118"/>
      <c r="AX49" s="120"/>
      <c r="AY49" s="118"/>
      <c r="AZ49" s="118"/>
      <c r="BA49" s="120"/>
      <c r="BB49" s="118"/>
      <c r="BC49" s="118"/>
      <c r="BD49" s="120"/>
      <c r="BE49" s="118"/>
      <c r="BF49" s="118"/>
      <c r="BG49" s="120"/>
      <c r="BH49" s="118"/>
      <c r="BI49" s="118"/>
      <c r="BJ49" s="120"/>
      <c r="BK49" s="118"/>
      <c r="BL49" s="118"/>
      <c r="BM49" s="120"/>
      <c r="BN49" s="118"/>
      <c r="BO49" s="118"/>
      <c r="BP49" s="120"/>
      <c r="BQ49" s="118"/>
      <c r="BR49" s="118"/>
      <c r="BS49" s="121"/>
      <c r="BT49" s="122"/>
      <c r="BU49" s="122"/>
      <c r="BV49" s="121"/>
      <c r="BW49" s="122"/>
      <c r="BX49" s="118"/>
      <c r="BY49" s="117"/>
      <c r="BZ49" s="110"/>
      <c r="CA49" s="110"/>
      <c r="CD49" s="117"/>
      <c r="CE49" s="117"/>
      <c r="CF49" s="117"/>
      <c r="CG49" s="117"/>
      <c r="CH49" s="117"/>
      <c r="CI49" s="117"/>
      <c r="CJ49" s="117"/>
      <c r="CK49" s="117"/>
      <c r="CL49" s="117"/>
      <c r="CM49" s="117"/>
      <c r="CN49" s="117"/>
      <c r="CO49" s="117"/>
      <c r="CP49" s="117"/>
      <c r="CQ49" s="117"/>
      <c r="CR49" s="117"/>
      <c r="CS49" s="117"/>
      <c r="CT49" s="117"/>
      <c r="CU49" s="117"/>
      <c r="CV49" s="117"/>
      <c r="CW49" s="117"/>
      <c r="CX49" s="117"/>
      <c r="CY49" s="117"/>
      <c r="CZ49" s="117"/>
      <c r="DA49" s="117"/>
      <c r="DB49" s="117"/>
      <c r="DC49" s="117"/>
      <c r="DD49" s="117"/>
      <c r="DE49" s="117"/>
      <c r="DF49" s="117"/>
      <c r="DG49" s="117"/>
      <c r="DH49" s="117"/>
      <c r="DI49" s="117"/>
      <c r="DJ49" s="117"/>
      <c r="DK49" s="117"/>
      <c r="DL49" s="117"/>
      <c r="DM49" s="117"/>
      <c r="DN49" s="117"/>
      <c r="DO49" s="117"/>
      <c r="DP49" s="117"/>
      <c r="DQ49" s="117"/>
      <c r="DR49" s="117"/>
      <c r="DS49" s="117"/>
      <c r="DT49" s="117"/>
      <c r="DU49" s="117"/>
      <c r="DV49" s="117"/>
      <c r="DW49" s="117"/>
      <c r="DX49" s="117"/>
      <c r="DY49" s="117"/>
      <c r="DZ49" s="117"/>
      <c r="EA49" s="117"/>
      <c r="EB49" s="117"/>
      <c r="EC49" s="117"/>
      <c r="ED49" s="117"/>
      <c r="EE49" s="117"/>
      <c r="EF49" s="117"/>
      <c r="EG49" s="117"/>
      <c r="EH49" s="117"/>
      <c r="EI49" s="117"/>
      <c r="EJ49" s="117"/>
      <c r="EK49" s="117"/>
      <c r="EL49" s="117"/>
      <c r="EM49" s="117"/>
      <c r="EN49" s="117"/>
      <c r="EO49" s="117"/>
      <c r="EP49" s="117"/>
      <c r="EQ49" s="117"/>
      <c r="ER49" s="117"/>
      <c r="ES49" s="117"/>
      <c r="ET49" s="117"/>
      <c r="EU49" s="117"/>
      <c r="EV49" s="117"/>
      <c r="EW49" s="117"/>
      <c r="EX49" s="117"/>
      <c r="EY49" s="117"/>
      <c r="EZ49" s="117"/>
      <c r="FA49" s="117"/>
      <c r="FB49" s="117"/>
      <c r="FC49" s="117"/>
      <c r="FD49" s="117"/>
      <c r="FE49" s="117"/>
      <c r="FF49" s="117"/>
      <c r="FG49" s="117"/>
      <c r="FH49" s="117"/>
      <c r="FI49" s="117"/>
      <c r="FJ49" s="117"/>
      <c r="FK49" s="117"/>
      <c r="FL49" s="117"/>
      <c r="FM49" s="117"/>
      <c r="FN49" s="117"/>
      <c r="FO49" s="117"/>
      <c r="FP49" s="117"/>
      <c r="FQ49" s="117"/>
      <c r="FR49" s="117"/>
      <c r="FS49" s="117"/>
      <c r="FT49" s="117"/>
      <c r="FU49" s="117"/>
      <c r="FV49" s="117"/>
      <c r="FW49" s="117"/>
      <c r="FX49" s="117"/>
      <c r="FY49" s="117"/>
      <c r="FZ49" s="117"/>
      <c r="GA49" s="117"/>
      <c r="GB49" s="117"/>
      <c r="GC49" s="117"/>
    </row>
    <row r="50" spans="1:255" s="107" customFormat="1" x14ac:dyDescent="0.15">
      <c r="A50" s="115"/>
      <c r="E50" s="116"/>
      <c r="F50" s="2"/>
      <c r="G50" s="117"/>
      <c r="H50" s="118"/>
      <c r="I50" s="118"/>
      <c r="J50" s="118"/>
      <c r="K50" s="119"/>
      <c r="L50" s="118"/>
      <c r="M50" s="118"/>
      <c r="N50" s="120"/>
      <c r="O50" s="118"/>
      <c r="P50" s="118"/>
      <c r="Q50" s="120"/>
      <c r="R50" s="118"/>
      <c r="S50" s="118"/>
      <c r="T50" s="120"/>
      <c r="U50" s="118"/>
      <c r="V50" s="118"/>
      <c r="W50" s="120"/>
      <c r="X50" s="118"/>
      <c r="Y50" s="118"/>
      <c r="Z50" s="120"/>
      <c r="AA50" s="118"/>
      <c r="AB50" s="118"/>
      <c r="AC50" s="120"/>
      <c r="AD50" s="118"/>
      <c r="AE50" s="118"/>
      <c r="AF50" s="120"/>
      <c r="AG50" s="118"/>
      <c r="AH50" s="118"/>
      <c r="AI50" s="120"/>
      <c r="AJ50" s="118"/>
      <c r="AK50" s="118"/>
      <c r="AL50" s="120"/>
      <c r="AM50" s="118"/>
      <c r="AN50" s="118"/>
      <c r="AO50" s="120"/>
      <c r="AP50" s="118"/>
      <c r="AQ50" s="118"/>
      <c r="AR50" s="120"/>
      <c r="AS50" s="118"/>
      <c r="AT50" s="118"/>
      <c r="AU50" s="120"/>
      <c r="AV50" s="118"/>
      <c r="AW50" s="118"/>
      <c r="AX50" s="120"/>
      <c r="AY50" s="118"/>
      <c r="AZ50" s="118"/>
      <c r="BA50" s="120"/>
      <c r="BB50" s="118"/>
      <c r="BC50" s="118"/>
      <c r="BD50" s="120"/>
      <c r="BE50" s="118"/>
      <c r="BF50" s="118"/>
      <c r="BG50" s="120"/>
      <c r="BH50" s="118"/>
      <c r="BI50" s="118"/>
      <c r="BJ50" s="120"/>
      <c r="BK50" s="118"/>
      <c r="BL50" s="118"/>
      <c r="BM50" s="120"/>
      <c r="BN50" s="118"/>
      <c r="BO50" s="118"/>
      <c r="BP50" s="120"/>
      <c r="BQ50" s="118"/>
      <c r="BR50" s="118"/>
      <c r="BS50" s="121"/>
      <c r="BT50" s="122"/>
      <c r="BU50" s="122"/>
      <c r="BV50" s="121"/>
      <c r="BW50" s="122"/>
      <c r="BX50" s="118"/>
      <c r="BY50" s="117"/>
      <c r="BZ50" s="110"/>
      <c r="CA50" s="110"/>
      <c r="CD50" s="117"/>
      <c r="CE50" s="117"/>
      <c r="CF50" s="117"/>
      <c r="CG50" s="117"/>
      <c r="CH50" s="117"/>
      <c r="CI50" s="117"/>
      <c r="CJ50" s="117"/>
      <c r="CK50" s="117"/>
      <c r="CL50" s="117"/>
      <c r="CM50" s="117"/>
      <c r="CN50" s="117"/>
      <c r="CO50" s="117"/>
      <c r="CP50" s="117"/>
      <c r="CQ50" s="117"/>
      <c r="CR50" s="117"/>
      <c r="CS50" s="117"/>
      <c r="CT50" s="117"/>
      <c r="CU50" s="117"/>
      <c r="CV50" s="117"/>
      <c r="CW50" s="117"/>
      <c r="CX50" s="117"/>
      <c r="CY50" s="117"/>
      <c r="CZ50" s="117"/>
      <c r="DA50" s="117"/>
      <c r="DB50" s="117"/>
      <c r="DC50" s="117"/>
      <c r="DD50" s="117"/>
      <c r="DE50" s="117"/>
      <c r="DF50" s="117"/>
      <c r="DG50" s="117"/>
      <c r="DH50" s="117"/>
      <c r="DI50" s="117"/>
      <c r="DJ50" s="117"/>
      <c r="DK50" s="117"/>
      <c r="DL50" s="117"/>
      <c r="DM50" s="117"/>
      <c r="DN50" s="117"/>
      <c r="DO50" s="117"/>
      <c r="DP50" s="117"/>
      <c r="DQ50" s="117"/>
      <c r="DR50" s="117"/>
      <c r="DS50" s="117"/>
      <c r="DT50" s="117"/>
      <c r="DU50" s="117"/>
      <c r="DV50" s="117"/>
      <c r="DW50" s="117"/>
      <c r="DX50" s="117"/>
      <c r="DY50" s="117"/>
      <c r="DZ50" s="117"/>
      <c r="EA50" s="117"/>
      <c r="EB50" s="117"/>
      <c r="EC50" s="117"/>
      <c r="ED50" s="117"/>
      <c r="EE50" s="117"/>
      <c r="EF50" s="117"/>
      <c r="EG50" s="117"/>
      <c r="EH50" s="117"/>
      <c r="EI50" s="117"/>
      <c r="EJ50" s="117"/>
      <c r="EK50" s="117"/>
      <c r="EL50" s="117"/>
      <c r="EM50" s="117"/>
      <c r="EN50" s="117"/>
      <c r="EO50" s="117"/>
      <c r="EP50" s="117"/>
      <c r="EQ50" s="117"/>
      <c r="ER50" s="117"/>
      <c r="ES50" s="117"/>
      <c r="ET50" s="117"/>
      <c r="EU50" s="117"/>
      <c r="EV50" s="117"/>
      <c r="EW50" s="117"/>
      <c r="EX50" s="117"/>
      <c r="EY50" s="117"/>
      <c r="EZ50" s="117"/>
      <c r="FA50" s="117"/>
      <c r="FB50" s="117"/>
      <c r="FC50" s="117"/>
      <c r="FD50" s="117"/>
      <c r="FE50" s="117"/>
      <c r="FF50" s="117"/>
      <c r="FG50" s="117"/>
      <c r="FH50" s="117"/>
      <c r="FI50" s="117"/>
      <c r="FJ50" s="117"/>
      <c r="FK50" s="117"/>
      <c r="FL50" s="117"/>
      <c r="FM50" s="117"/>
      <c r="FN50" s="117"/>
      <c r="FO50" s="117"/>
      <c r="FP50" s="117"/>
      <c r="FQ50" s="117"/>
      <c r="FR50" s="117"/>
      <c r="FS50" s="117"/>
      <c r="FT50" s="117"/>
      <c r="FU50" s="117"/>
      <c r="FV50" s="117"/>
      <c r="FW50" s="117"/>
      <c r="FX50" s="117"/>
      <c r="FY50" s="117"/>
      <c r="FZ50" s="117"/>
      <c r="GA50" s="117"/>
      <c r="GB50" s="117"/>
      <c r="GC50" s="117"/>
    </row>
    <row r="51" spans="1:255" s="107" customFormat="1" x14ac:dyDescent="0.15">
      <c r="A51" s="115"/>
      <c r="E51" s="116"/>
      <c r="F51" s="2"/>
      <c r="G51" s="117"/>
      <c r="H51" s="118"/>
      <c r="I51" s="118"/>
      <c r="J51" s="118"/>
      <c r="K51" s="119"/>
      <c r="L51" s="118"/>
      <c r="M51" s="118"/>
      <c r="N51" s="120"/>
      <c r="O51" s="118"/>
      <c r="P51" s="118"/>
      <c r="Q51" s="120"/>
      <c r="R51" s="118"/>
      <c r="S51" s="118"/>
      <c r="T51" s="120"/>
      <c r="U51" s="118"/>
      <c r="V51" s="118"/>
      <c r="W51" s="120"/>
      <c r="X51" s="118"/>
      <c r="Y51" s="118"/>
      <c r="Z51" s="120"/>
      <c r="AA51" s="118"/>
      <c r="AB51" s="118"/>
      <c r="AC51" s="120"/>
      <c r="AD51" s="118"/>
      <c r="AE51" s="118"/>
      <c r="AF51" s="120"/>
      <c r="AG51" s="118"/>
      <c r="AH51" s="118"/>
      <c r="AI51" s="120"/>
      <c r="AJ51" s="118"/>
      <c r="AK51" s="118"/>
      <c r="AL51" s="120"/>
      <c r="AM51" s="118"/>
      <c r="AN51" s="118"/>
      <c r="AO51" s="120"/>
      <c r="AP51" s="118"/>
      <c r="AQ51" s="118"/>
      <c r="AR51" s="120"/>
      <c r="AS51" s="118"/>
      <c r="AT51" s="118"/>
      <c r="AU51" s="120"/>
      <c r="AV51" s="118"/>
      <c r="AW51" s="118"/>
      <c r="AX51" s="120"/>
      <c r="AY51" s="118"/>
      <c r="AZ51" s="118"/>
      <c r="BA51" s="120"/>
      <c r="BB51" s="118"/>
      <c r="BC51" s="118"/>
      <c r="BD51" s="120"/>
      <c r="BE51" s="118"/>
      <c r="BF51" s="118"/>
      <c r="BG51" s="120"/>
      <c r="BH51" s="118"/>
      <c r="BI51" s="118"/>
      <c r="BJ51" s="120"/>
      <c r="BK51" s="118"/>
      <c r="BL51" s="118"/>
      <c r="BM51" s="120"/>
      <c r="BN51" s="118"/>
      <c r="BO51" s="118"/>
      <c r="BP51" s="120"/>
      <c r="BQ51" s="118"/>
      <c r="BR51" s="118"/>
      <c r="BS51" s="121"/>
      <c r="BT51" s="122"/>
      <c r="BU51" s="122"/>
      <c r="BV51" s="121"/>
      <c r="BW51" s="122"/>
      <c r="BX51" s="118"/>
      <c r="BY51" s="117"/>
      <c r="BZ51" s="110"/>
      <c r="CA51" s="110"/>
      <c r="CD51" s="117"/>
      <c r="CE51" s="117"/>
      <c r="CF51" s="117"/>
      <c r="CG51" s="117"/>
      <c r="CH51" s="117"/>
      <c r="CI51" s="117"/>
      <c r="CJ51" s="117"/>
      <c r="CK51" s="117"/>
      <c r="CL51" s="117"/>
      <c r="CM51" s="117"/>
      <c r="CN51" s="117"/>
      <c r="CO51" s="117"/>
      <c r="CP51" s="117"/>
      <c r="CQ51" s="117"/>
      <c r="CR51" s="117"/>
      <c r="CS51" s="117"/>
      <c r="CT51" s="117"/>
      <c r="CU51" s="117"/>
      <c r="CV51" s="117"/>
      <c r="CW51" s="117"/>
      <c r="CX51" s="117"/>
      <c r="CY51" s="117"/>
      <c r="CZ51" s="117"/>
      <c r="DA51" s="117"/>
      <c r="DB51" s="117"/>
      <c r="DC51" s="117"/>
      <c r="DD51" s="117"/>
      <c r="DE51" s="117"/>
      <c r="DF51" s="117"/>
      <c r="DG51" s="117"/>
      <c r="DH51" s="117"/>
      <c r="DI51" s="117"/>
      <c r="DJ51" s="117"/>
      <c r="DK51" s="117"/>
      <c r="DL51" s="117"/>
      <c r="DM51" s="117"/>
      <c r="DN51" s="117"/>
      <c r="DO51" s="117"/>
      <c r="DP51" s="117"/>
      <c r="DQ51" s="117"/>
      <c r="DR51" s="117"/>
      <c r="DS51" s="117"/>
      <c r="DT51" s="117"/>
      <c r="DU51" s="117"/>
      <c r="DV51" s="117"/>
      <c r="DW51" s="117"/>
      <c r="DX51" s="117"/>
      <c r="DY51" s="117"/>
      <c r="DZ51" s="117"/>
      <c r="EA51" s="117"/>
      <c r="EB51" s="117"/>
      <c r="EC51" s="117"/>
      <c r="ED51" s="117"/>
      <c r="EE51" s="117"/>
      <c r="EF51" s="117"/>
      <c r="EG51" s="117"/>
      <c r="EH51" s="117"/>
      <c r="EI51" s="117"/>
      <c r="EJ51" s="117"/>
      <c r="EK51" s="117"/>
      <c r="EL51" s="117"/>
      <c r="EM51" s="117"/>
      <c r="EN51" s="117"/>
      <c r="EO51" s="117"/>
      <c r="EP51" s="117"/>
      <c r="EQ51" s="117"/>
      <c r="ER51" s="117"/>
      <c r="ES51" s="117"/>
      <c r="ET51" s="117"/>
      <c r="EU51" s="117"/>
      <c r="EV51" s="117"/>
      <c r="EW51" s="117"/>
      <c r="EX51" s="117"/>
      <c r="EY51" s="117"/>
      <c r="EZ51" s="117"/>
      <c r="FA51" s="117"/>
      <c r="FB51" s="117"/>
      <c r="FC51" s="117"/>
      <c r="FD51" s="117"/>
      <c r="FE51" s="117"/>
      <c r="FF51" s="117"/>
      <c r="FG51" s="117"/>
      <c r="FH51" s="117"/>
      <c r="FI51" s="117"/>
      <c r="FJ51" s="117"/>
      <c r="FK51" s="117"/>
      <c r="FL51" s="117"/>
      <c r="FM51" s="117"/>
      <c r="FN51" s="117"/>
      <c r="FO51" s="117"/>
      <c r="FP51" s="117"/>
      <c r="FQ51" s="117"/>
      <c r="FR51" s="117"/>
      <c r="FS51" s="117"/>
      <c r="FT51" s="117"/>
      <c r="FU51" s="117"/>
      <c r="FV51" s="117"/>
      <c r="FW51" s="117"/>
      <c r="FX51" s="117"/>
      <c r="FY51" s="117"/>
      <c r="FZ51" s="117"/>
      <c r="GA51" s="117"/>
      <c r="GB51" s="117"/>
      <c r="GC51" s="117"/>
    </row>
    <row r="52" spans="1:255" s="107" customFormat="1" x14ac:dyDescent="0.15">
      <c r="E52" s="116"/>
      <c r="F52" s="2"/>
      <c r="G52" s="117"/>
      <c r="H52" s="118"/>
      <c r="I52" s="118"/>
      <c r="J52" s="118"/>
      <c r="K52" s="119"/>
      <c r="L52" s="118"/>
      <c r="M52" s="118"/>
      <c r="N52" s="120"/>
      <c r="O52" s="118"/>
      <c r="P52" s="118"/>
      <c r="Q52" s="120"/>
      <c r="R52" s="118"/>
      <c r="S52" s="118"/>
      <c r="T52" s="120"/>
      <c r="U52" s="118"/>
      <c r="V52" s="118"/>
      <c r="W52" s="120"/>
      <c r="X52" s="118"/>
      <c r="Y52" s="118"/>
      <c r="Z52" s="120"/>
      <c r="AA52" s="118"/>
      <c r="AB52" s="118"/>
      <c r="AC52" s="120"/>
      <c r="AD52" s="118"/>
      <c r="AE52" s="118"/>
      <c r="AF52" s="120"/>
      <c r="AG52" s="118"/>
      <c r="AH52" s="118"/>
      <c r="AI52" s="120"/>
      <c r="AJ52" s="118"/>
      <c r="AK52" s="118"/>
      <c r="AL52" s="120"/>
      <c r="AM52" s="118"/>
      <c r="AN52" s="118"/>
      <c r="AO52" s="120"/>
      <c r="AP52" s="118"/>
      <c r="AQ52" s="118"/>
      <c r="AR52" s="120"/>
      <c r="AS52" s="118"/>
      <c r="AT52" s="118"/>
      <c r="AU52" s="120"/>
      <c r="AV52" s="118"/>
      <c r="AW52" s="118"/>
      <c r="AX52" s="120"/>
      <c r="AY52" s="118"/>
      <c r="AZ52" s="118"/>
      <c r="BA52" s="120"/>
      <c r="BB52" s="118"/>
      <c r="BC52" s="118"/>
      <c r="BD52" s="120"/>
      <c r="BE52" s="118"/>
      <c r="BF52" s="118"/>
      <c r="BG52" s="120"/>
      <c r="BH52" s="118"/>
      <c r="BI52" s="118"/>
      <c r="BJ52" s="120"/>
      <c r="BK52" s="118"/>
      <c r="BL52" s="118"/>
      <c r="BM52" s="120"/>
      <c r="BN52" s="118"/>
      <c r="BO52" s="118"/>
      <c r="BP52" s="120"/>
      <c r="BQ52" s="118"/>
      <c r="BR52" s="118"/>
      <c r="BS52" s="121"/>
      <c r="BT52" s="122"/>
      <c r="BU52" s="122"/>
      <c r="BV52" s="121"/>
      <c r="BW52" s="122"/>
      <c r="BX52" s="118"/>
      <c r="BY52" s="117"/>
      <c r="BZ52" s="110"/>
      <c r="CA52" s="110"/>
      <c r="CD52" s="117"/>
      <c r="CE52" s="117"/>
      <c r="CF52" s="117"/>
      <c r="CG52" s="117"/>
      <c r="CH52" s="117"/>
      <c r="CI52" s="117"/>
      <c r="CJ52" s="117"/>
      <c r="CK52" s="117"/>
      <c r="CL52" s="117"/>
      <c r="CM52" s="117"/>
      <c r="CN52" s="117"/>
      <c r="CO52" s="117"/>
      <c r="CP52" s="117"/>
      <c r="CQ52" s="117"/>
      <c r="CR52" s="117"/>
      <c r="CS52" s="117"/>
      <c r="CT52" s="117"/>
      <c r="CU52" s="117"/>
      <c r="CV52" s="117"/>
      <c r="CW52" s="117"/>
      <c r="CX52" s="117"/>
      <c r="CY52" s="117"/>
      <c r="CZ52" s="117"/>
      <c r="DA52" s="117"/>
      <c r="DB52" s="117"/>
      <c r="DC52" s="117"/>
      <c r="DD52" s="117"/>
      <c r="DE52" s="117"/>
      <c r="DF52" s="117"/>
      <c r="DG52" s="117"/>
      <c r="DH52" s="117"/>
      <c r="DI52" s="117"/>
      <c r="DJ52" s="117"/>
      <c r="DK52" s="117"/>
      <c r="DL52" s="117"/>
      <c r="DM52" s="117"/>
      <c r="DN52" s="117"/>
      <c r="DO52" s="117"/>
      <c r="DP52" s="117"/>
      <c r="DQ52" s="117"/>
      <c r="DR52" s="117"/>
      <c r="DS52" s="117"/>
      <c r="DT52" s="117"/>
      <c r="DU52" s="117"/>
      <c r="DV52" s="117"/>
      <c r="DW52" s="117"/>
      <c r="DX52" s="117"/>
      <c r="DY52" s="117"/>
      <c r="DZ52" s="117"/>
      <c r="EA52" s="117"/>
      <c r="EB52" s="117"/>
      <c r="EC52" s="117"/>
      <c r="ED52" s="117"/>
      <c r="EE52" s="117"/>
      <c r="EF52" s="117"/>
      <c r="EG52" s="117"/>
      <c r="EH52" s="117"/>
      <c r="EI52" s="117"/>
      <c r="EJ52" s="117"/>
      <c r="EK52" s="117"/>
      <c r="EL52" s="117"/>
      <c r="EM52" s="117"/>
      <c r="EN52" s="117"/>
      <c r="EO52" s="117"/>
      <c r="EP52" s="117"/>
      <c r="EQ52" s="117"/>
      <c r="ER52" s="117"/>
      <c r="ES52" s="117"/>
      <c r="ET52" s="117"/>
      <c r="EU52" s="117"/>
      <c r="EV52" s="117"/>
      <c r="EW52" s="117"/>
      <c r="EX52" s="117"/>
      <c r="EY52" s="117"/>
      <c r="EZ52" s="117"/>
      <c r="FA52" s="117"/>
      <c r="FB52" s="117"/>
      <c r="FC52" s="117"/>
      <c r="FD52" s="117"/>
      <c r="FE52" s="117"/>
      <c r="FF52" s="117"/>
      <c r="FG52" s="117"/>
      <c r="FH52" s="117"/>
      <c r="FI52" s="117"/>
      <c r="FJ52" s="117"/>
      <c r="FK52" s="117"/>
      <c r="FL52" s="117"/>
      <c r="FM52" s="117"/>
      <c r="FN52" s="117"/>
      <c r="FO52" s="117"/>
      <c r="FP52" s="117"/>
      <c r="FQ52" s="117"/>
      <c r="FR52" s="117"/>
      <c r="FS52" s="117"/>
      <c r="FT52" s="117"/>
      <c r="FU52" s="117"/>
      <c r="FV52" s="117"/>
      <c r="FW52" s="117"/>
      <c r="FX52" s="117"/>
      <c r="FY52" s="117"/>
      <c r="FZ52" s="117"/>
      <c r="GA52" s="117"/>
      <c r="GB52" s="117"/>
      <c r="GC52" s="117"/>
    </row>
    <row r="53" spans="1:255" x14ac:dyDescent="0.15">
      <c r="E53" s="6"/>
      <c r="F53" s="2"/>
      <c r="H53" s="24"/>
      <c r="I53" s="24"/>
      <c r="J53" s="24"/>
      <c r="K53" s="29"/>
      <c r="L53" s="24"/>
      <c r="M53" s="24"/>
      <c r="N53" s="25"/>
      <c r="O53" s="24"/>
      <c r="P53" s="24"/>
      <c r="Q53" s="25"/>
      <c r="R53" s="24"/>
      <c r="S53" s="24"/>
      <c r="T53" s="25"/>
      <c r="U53" s="24"/>
      <c r="V53" s="24"/>
      <c r="W53" s="25"/>
      <c r="X53" s="24"/>
      <c r="Y53" s="24"/>
      <c r="Z53" s="25"/>
      <c r="AA53" s="24"/>
      <c r="AB53" s="24"/>
      <c r="AC53" s="25"/>
      <c r="AD53" s="24"/>
      <c r="AE53" s="24"/>
      <c r="AF53" s="25"/>
      <c r="AG53" s="24"/>
      <c r="AH53" s="24"/>
      <c r="AI53" s="25"/>
      <c r="AJ53" s="24"/>
      <c r="AK53" s="24"/>
      <c r="AL53" s="25"/>
      <c r="AM53" s="24"/>
      <c r="AN53" s="24"/>
      <c r="AO53" s="25"/>
      <c r="AP53" s="24"/>
      <c r="AQ53" s="24"/>
      <c r="AR53" s="25"/>
      <c r="AS53" s="24"/>
      <c r="AT53" s="24"/>
      <c r="AU53" s="25"/>
      <c r="AV53" s="24"/>
      <c r="AW53" s="24"/>
      <c r="AX53" s="25"/>
      <c r="AY53" s="24"/>
      <c r="AZ53" s="24"/>
      <c r="BA53" s="25"/>
      <c r="BB53" s="24"/>
      <c r="BC53" s="24"/>
      <c r="BD53" s="25"/>
      <c r="BE53" s="24"/>
      <c r="BF53" s="24"/>
      <c r="BG53" s="25"/>
      <c r="BH53" s="24"/>
      <c r="BI53" s="24"/>
      <c r="BJ53" s="25"/>
      <c r="BK53" s="24"/>
      <c r="BL53" s="24"/>
      <c r="BM53" s="25"/>
      <c r="BN53" s="24"/>
      <c r="BO53" s="24"/>
      <c r="BP53" s="25"/>
      <c r="BQ53" s="24"/>
      <c r="BR53" s="24"/>
      <c r="BS53" s="49"/>
      <c r="BT53" s="50"/>
      <c r="BU53" s="50"/>
      <c r="BV53" s="49"/>
      <c r="BW53" s="50"/>
      <c r="BX53" s="24"/>
      <c r="BY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</row>
    <row r="54" spans="1:255" s="12" customFormat="1" x14ac:dyDescent="0.15">
      <c r="A54" s="12" t="s">
        <v>2</v>
      </c>
      <c r="C54" s="12">
        <f>SUM(C25:C53)</f>
        <v>85</v>
      </c>
      <c r="D54" s="54">
        <f>SUM(D25:D53)</f>
        <v>755</v>
      </c>
      <c r="E54" s="13">
        <f>C54/D54</f>
        <v>0.11258278145695365</v>
      </c>
      <c r="F54" s="14"/>
      <c r="G54" s="14"/>
      <c r="H54" s="15">
        <f>SUM(H25:H50)</f>
        <v>85.000000000000014</v>
      </c>
      <c r="I54" s="15"/>
      <c r="J54" s="16">
        <f>SUM(J25:J53)</f>
        <v>18.804221011538242</v>
      </c>
      <c r="K54" s="42">
        <f>SUM(K25:K53)</f>
        <v>840</v>
      </c>
      <c r="L54" s="17"/>
      <c r="M54" s="17"/>
      <c r="N54" s="27">
        <f>K54/(($C$81*(1-$C$81))+((K54-1)*($C$81*$C$81)*((1-$C$81)*(1-$C$81))*($B$81*$B$81)))</f>
        <v>4145.310013967478</v>
      </c>
      <c r="O54" s="17"/>
      <c r="P54" s="17"/>
      <c r="Q54" s="27">
        <f>$K54/(($C$82*(1-$C$82))+(($K54-1)*($C$82*$C$82)*((1-$C$82)*(1-$C$82))*($B$82*$B$82)))</f>
        <v>4629.702398276725</v>
      </c>
      <c r="R54" s="17"/>
      <c r="S54" s="17"/>
      <c r="T54" s="27">
        <f>$K54/(($C$83*(1-$C$83))+(($K54-1)*($C$83*$C$83)*((1-$C$83)*(1-$C$83))*($B$83*$B$83)))</f>
        <v>5092.2776319263903</v>
      </c>
      <c r="U54" s="17"/>
      <c r="V54" s="17"/>
      <c r="W54" s="27">
        <f>$K54/(($C$84*(1-$C$84))+(($K54-1)*($C$84*$C$84)*((1-$C$84)*(1-$C$84))*($B$84*$B$84)))</f>
        <v>5519.7516528063525</v>
      </c>
      <c r="X54" s="17"/>
      <c r="Y54" s="17"/>
      <c r="Z54" s="27">
        <f>$K54/(($C$85*(1-$C$85))+(($K54-1)*($C$85*$C$85)*((1-$C$85)*(1-$C$85))*($B$85*$B$85)))</f>
        <v>5912.3567674325541</v>
      </c>
      <c r="AA54" s="17"/>
      <c r="AB54" s="17"/>
      <c r="AC54" s="27">
        <f>$K54/(($C$86*(1-$C$86))+(($K54-1)*($C$86*$C$86)*((1-$C$86)*(1-$C$86))*($B$86*$B$86)))</f>
        <v>6270.9634771386891</v>
      </c>
      <c r="AD54" s="17"/>
      <c r="AE54" s="17"/>
      <c r="AF54" s="27">
        <f>$K54/(($C$87*(1-$C$87))+(($K54-1)*($C$87*$C$87)*((1-$C$87)*(1-$C$87))*($B$87*$B$87)))</f>
        <v>6596.9043351554919</v>
      </c>
      <c r="AG54" s="17"/>
      <c r="AH54" s="17"/>
      <c r="AI54" s="27">
        <f>$K54/(($C$88*(1-$C$88))+(($K54-1)*($C$88*$C$88)*((1-$C$88)*(1-$C$88))*($B$88*$B$88)))</f>
        <v>6891.8451921909318</v>
      </c>
      <c r="AJ54" s="17"/>
      <c r="AK54" s="17"/>
      <c r="AL54" s="27">
        <f>$K54/(($C$89*(1-$C$89))+(($K54-1)*($C$89*$C$89)*((1-$C$89)*(1-$C$89))*($B$89*$B$89)))</f>
        <v>7157.6756936584461</v>
      </c>
      <c r="AM54" s="17"/>
      <c r="AN54" s="17"/>
      <c r="AO54" s="27">
        <f>$K54/(($C$90*(1-$C$90))+(($K54-1)*($C$90*$C$90)*((1-$C$90)*(1-$C$90))*($B$90*$B$90)))</f>
        <v>7396.417740147871</v>
      </c>
      <c r="AP54" s="17"/>
      <c r="AQ54" s="17"/>
      <c r="AR54" s="27">
        <f>$K54/(($C$91*(1-$C$91))+(($K54-1)*($C$91*$C$91)*((1-$C$91)*(1-$C$91))*($B$91*$B$91)))</f>
        <v>7610.1507982662761</v>
      </c>
      <c r="AS54" s="17"/>
      <c r="AT54" s="17"/>
      <c r="AU54" s="27">
        <f>$K54/(($C$92*(1-$C$92))+(($K54-1)*($C$92*$C$92)*((1-$C$92)*(1-$C$92))*($B$92*$B$92)))</f>
        <v>7800.9527023709197</v>
      </c>
      <c r="AV54" s="17"/>
      <c r="AW54" s="17"/>
      <c r="AX54" s="27">
        <f>$K54/(($C$93*(1-$C$93))+(($K54-1)*($C$93*$C$93)*((1-$C$93)*(1-$C$93))*($B$93*$B$93)))</f>
        <v>7970.8543113566038</v>
      </c>
      <c r="AY54" s="17"/>
      <c r="AZ54" s="17"/>
      <c r="BA54" s="27">
        <f>$K54/(($C$94*(1-$C$94))+(($K54-1)*($C$94*$C$94)*((1-$C$94)*(1-$C$94))*($B$94*$B$94)))</f>
        <v>8121.8062062817253</v>
      </c>
      <c r="BB54" s="17"/>
      <c r="BC54" s="17"/>
      <c r="BD54" s="27">
        <f>$K54/(($C$95*(1-$C$95))+(($K54-1)*($C$95*$C$95)*((1-$C$95)*(1-$C$95))*($B$95*$B$95)))</f>
        <v>8255.6555616588266</v>
      </c>
      <c r="BE54" s="17"/>
      <c r="BF54" s="17"/>
      <c r="BG54" s="27">
        <f>$K54/(($C$96*(1-$C$96))+(($K54-1)*($C$96*$C$96)*((1-$C$96)*(1-$C$96))*($B$96*$B$96)))</f>
        <v>8374.1313802178483</v>
      </c>
      <c r="BH54" s="17"/>
      <c r="BI54" s="17"/>
      <c r="BJ54" s="27">
        <f>$K54/(($C$97*(1-$C$97))+(($K54-1)*($C$97*$C$97)*((1-$C$97)*(1-$C$97))*($B$97*$B$97)))</f>
        <v>8478.8364176475916</v>
      </c>
      <c r="BK54" s="17"/>
      <c r="BL54" s="17"/>
      <c r="BM54" s="27">
        <f>$K54/(($C$98*(1-$C$98))+(($K54-1)*($C$98*$C$98)*((1-$C$98)*(1-$C$98))*($B$98*$B$98)))</f>
        <v>8571.2443088714026</v>
      </c>
      <c r="BN54" s="17"/>
      <c r="BO54" s="17"/>
      <c r="BP54" s="27">
        <f>$K54/(($C$99*(1-$C$99))+(($K54-1)*($C$99*$C$99)*((1-$C$99)*(1-$C$99))*($B$99*$B$99)))</f>
        <v>8652.700614247944</v>
      </c>
      <c r="BQ54" s="17"/>
      <c r="BR54" s="17"/>
      <c r="BS54" s="51">
        <f>$K54/(($C$100*(1-$C$100))+(($K54-1)*($C$100*$C$100)*((1-$C$100)*(1-$C$100))*($B$100*$B$100)))</f>
        <v>8724.6510757860578</v>
      </c>
      <c r="BT54" s="52"/>
      <c r="BU54" s="52"/>
      <c r="BV54" s="51"/>
      <c r="BW54" s="52"/>
      <c r="BX54" s="17"/>
      <c r="BY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</row>
    <row r="55" spans="1:255" s="12" customFormat="1" x14ac:dyDescent="0.15">
      <c r="A55" s="12" t="s">
        <v>3</v>
      </c>
      <c r="E55" s="13"/>
      <c r="F55" s="14"/>
      <c r="G55" s="14"/>
      <c r="H55" s="13"/>
      <c r="J55" s="17"/>
      <c r="K55" s="27"/>
      <c r="L55" s="17"/>
      <c r="M55" s="17"/>
      <c r="N55" s="27"/>
      <c r="O55" s="17"/>
      <c r="P55" s="17"/>
      <c r="Q55" s="27"/>
      <c r="R55" s="17"/>
      <c r="S55" s="17"/>
      <c r="T55" s="27"/>
      <c r="U55" s="17"/>
      <c r="V55" s="17"/>
      <c r="W55" s="27"/>
      <c r="X55" s="17"/>
      <c r="Y55" s="17"/>
      <c r="Z55" s="27"/>
      <c r="AA55" s="17"/>
      <c r="AB55" s="17"/>
      <c r="AC55" s="27"/>
      <c r="AD55" s="17"/>
      <c r="AE55" s="17"/>
      <c r="AF55" s="27"/>
      <c r="AG55" s="17"/>
      <c r="AH55" s="17"/>
      <c r="AI55" s="27"/>
      <c r="AJ55" s="17"/>
      <c r="AK55" s="17"/>
      <c r="AL55" s="27"/>
      <c r="AM55" s="17"/>
      <c r="AN55" s="17"/>
      <c r="AO55" s="27"/>
      <c r="AP55" s="17"/>
      <c r="AQ55" s="17"/>
      <c r="AR55" s="27"/>
      <c r="AS55" s="17"/>
      <c r="AT55" s="17"/>
      <c r="AU55" s="27"/>
      <c r="AV55" s="17"/>
      <c r="AW55" s="17"/>
      <c r="AX55" s="27"/>
      <c r="AY55" s="17"/>
      <c r="AZ55" s="17"/>
      <c r="BA55" s="27"/>
      <c r="BB55" s="17"/>
      <c r="BC55" s="17"/>
      <c r="BD55" s="27"/>
      <c r="BE55" s="17"/>
      <c r="BF55" s="17"/>
      <c r="BG55" s="27"/>
      <c r="BH55" s="17"/>
      <c r="BI55" s="17"/>
      <c r="BJ55" s="27"/>
      <c r="BK55" s="17"/>
      <c r="BL55" s="17"/>
      <c r="BM55" s="27"/>
      <c r="BN55" s="17"/>
      <c r="BO55" s="17"/>
      <c r="BP55" s="27"/>
      <c r="BQ55" s="17"/>
      <c r="BR55" s="17"/>
      <c r="BS55" s="51"/>
      <c r="BT55" s="52"/>
      <c r="BU55" s="52"/>
      <c r="BV55" s="51"/>
      <c r="BW55" s="52"/>
      <c r="BX55" s="17"/>
      <c r="BY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  <c r="HA55" s="17"/>
      <c r="HB55" s="17"/>
      <c r="HC55" s="17"/>
      <c r="HD55" s="17"/>
      <c r="HE55" s="17"/>
      <c r="HF55" s="17"/>
      <c r="HG55" s="17"/>
      <c r="HH55" s="17"/>
      <c r="HI55" s="17"/>
      <c r="HJ55" s="17"/>
      <c r="HK55" s="17"/>
      <c r="HL55" s="17"/>
      <c r="HM55" s="17"/>
      <c r="HN55" s="17"/>
      <c r="HO55" s="17"/>
      <c r="HP55" s="17"/>
      <c r="HQ55" s="17"/>
      <c r="HR55" s="17"/>
      <c r="HS55" s="17"/>
      <c r="HT55" s="17"/>
      <c r="HU55" s="17"/>
      <c r="HV55" s="17"/>
      <c r="HW55" s="17"/>
      <c r="HX55" s="17"/>
      <c r="HY55" s="17"/>
      <c r="HZ55" s="17"/>
      <c r="IA55" s="17"/>
      <c r="IB55" s="17"/>
      <c r="IC55" s="17"/>
      <c r="ID55" s="17"/>
      <c r="IE55" s="17"/>
      <c r="IF55" s="17"/>
      <c r="IG55" s="17"/>
      <c r="IH55" s="17"/>
      <c r="II55" s="17"/>
      <c r="IJ55" s="17"/>
      <c r="IK55" s="17"/>
      <c r="IL55" s="17"/>
      <c r="IM55" s="17"/>
      <c r="IN55" s="17"/>
      <c r="IO55" s="17"/>
      <c r="IP55" s="17"/>
      <c r="IQ55" s="17"/>
      <c r="IR55" s="17"/>
      <c r="IS55" s="17"/>
      <c r="IT55" s="17"/>
      <c r="IU55" s="17"/>
    </row>
    <row r="56" spans="1:255" x14ac:dyDescent="0.15"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11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41"/>
      <c r="BX56" s="41"/>
      <c r="BY56" s="41"/>
      <c r="BZ56" s="41"/>
      <c r="CA56" s="41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</row>
    <row r="57" spans="1:255" x14ac:dyDescent="0.15"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41"/>
      <c r="BX57" s="41"/>
      <c r="BY57" s="41"/>
      <c r="BZ57" s="41"/>
      <c r="CA57" s="41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</row>
    <row r="58" spans="1:255" x14ac:dyDescent="0.15"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41"/>
      <c r="BX58" s="41"/>
      <c r="BY58" s="41"/>
      <c r="BZ58" s="41"/>
      <c r="CA58" s="41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</row>
    <row r="59" spans="1:255" ht="16" x14ac:dyDescent="0.2">
      <c r="A59" s="67" t="s">
        <v>86</v>
      </c>
      <c r="B59" s="68"/>
      <c r="C59" s="68"/>
      <c r="D59" s="68"/>
      <c r="E59" s="69"/>
      <c r="F59" s="69"/>
      <c r="G59"/>
      <c r="H59"/>
      <c r="I59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41"/>
      <c r="BX59" s="41"/>
      <c r="BY59" s="41"/>
      <c r="BZ59" s="41"/>
      <c r="CA59" s="41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</row>
    <row r="60" spans="1:255" x14ac:dyDescent="0.15">
      <c r="A60" s="70"/>
      <c r="B60" s="71"/>
      <c r="C60" s="71"/>
      <c r="D60" s="71"/>
      <c r="E60" s="72"/>
      <c r="F60" s="72"/>
      <c r="G60"/>
      <c r="H60"/>
      <c r="I60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41"/>
      <c r="BX60" s="41"/>
      <c r="BY60" s="41"/>
      <c r="BZ60" s="41"/>
      <c r="CA60" s="41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</row>
    <row r="61" spans="1:255" ht="20" x14ac:dyDescent="0.2">
      <c r="A61" s="73" t="s">
        <v>51</v>
      </c>
      <c r="B61" s="74"/>
      <c r="C61" s="75"/>
      <c r="D61" s="71"/>
      <c r="E61" s="72"/>
      <c r="F61" s="72"/>
      <c r="G61"/>
      <c r="H61"/>
      <c r="I61"/>
      <c r="N61" s="8"/>
      <c r="O61" s="43"/>
      <c r="P61" s="4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41"/>
      <c r="BX61" s="41"/>
      <c r="BY61" s="41"/>
      <c r="BZ61" s="41"/>
      <c r="CA61" s="41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</row>
    <row r="62" spans="1:255" ht="20" x14ac:dyDescent="0.2">
      <c r="A62" s="58" t="s">
        <v>0</v>
      </c>
      <c r="B62" s="76">
        <f>((1/0.000000000155125)*LN((0.000000000155125*($C$101/(1-$C$101))*$B$12*$B$11*0.5)+1))/1000000</f>
        <v>28.960202233791126</v>
      </c>
      <c r="C62" s="71"/>
      <c r="D62" s="71"/>
      <c r="E62" s="72"/>
      <c r="F62" s="72"/>
      <c r="G62"/>
      <c r="H62"/>
      <c r="I62"/>
      <c r="N62" s="8"/>
      <c r="O62" s="43"/>
      <c r="P62" s="4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41"/>
      <c r="BX62" s="41"/>
      <c r="BY62" s="41"/>
      <c r="BZ62" s="41"/>
      <c r="CA62" s="41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</row>
    <row r="63" spans="1:255" ht="20" x14ac:dyDescent="0.2">
      <c r="A63" s="58" t="s">
        <v>1</v>
      </c>
      <c r="B63" s="76">
        <f>$B$62*SQRT((1/($C$101^2*(1-$C$101)^2*SUM($BS$25:$BS$53))))</f>
        <v>3.3185870228568137</v>
      </c>
      <c r="C63" s="71"/>
      <c r="D63" s="71"/>
      <c r="E63" s="72"/>
      <c r="F63" s="72"/>
      <c r="G63"/>
      <c r="H63"/>
      <c r="I63"/>
      <c r="N63" s="8"/>
      <c r="O63" s="43"/>
      <c r="P63" s="4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41"/>
      <c r="BX63" s="41"/>
      <c r="BY63" s="41"/>
      <c r="BZ63" s="41"/>
      <c r="CA63" s="41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</row>
    <row r="64" spans="1:255" ht="20" x14ac:dyDescent="0.2">
      <c r="A64" s="58" t="s">
        <v>44</v>
      </c>
      <c r="B64" s="76">
        <f>B101*100</f>
        <v>2.5824629718811081</v>
      </c>
      <c r="C64" s="71" t="s">
        <v>11</v>
      </c>
      <c r="D64" s="71"/>
      <c r="E64" s="72"/>
      <c r="F64" s="72"/>
      <c r="G64"/>
      <c r="H64"/>
      <c r="I64"/>
      <c r="N64" s="8"/>
      <c r="O64" s="43"/>
      <c r="P64" s="4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41"/>
      <c r="BX64" s="41"/>
      <c r="BY64" s="41"/>
      <c r="BZ64" s="41"/>
      <c r="CA64" s="41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</row>
    <row r="65" spans="1:255" ht="20" x14ac:dyDescent="0.2">
      <c r="A65" s="71"/>
      <c r="B65" s="71"/>
      <c r="C65" s="71"/>
      <c r="D65" s="71"/>
      <c r="E65" s="72"/>
      <c r="F65" s="72"/>
      <c r="G65"/>
      <c r="H65"/>
      <c r="I65"/>
      <c r="N65" s="8"/>
      <c r="O65" s="43"/>
      <c r="P65" s="4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41"/>
      <c r="BX65" s="41"/>
      <c r="BY65" s="41"/>
      <c r="BZ65" s="41"/>
      <c r="CA65" s="41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</row>
    <row r="66" spans="1:255" ht="20" x14ac:dyDescent="0.2">
      <c r="A66" s="73" t="s">
        <v>52</v>
      </c>
      <c r="B66" s="76"/>
      <c r="C66" s="71"/>
      <c r="D66" s="71"/>
      <c r="E66" s="72"/>
      <c r="F66" s="72"/>
      <c r="G66"/>
      <c r="H66" s="43"/>
      <c r="I66" s="43"/>
      <c r="M66" s="43"/>
      <c r="N66" s="8"/>
      <c r="O66" s="43"/>
      <c r="P66" s="4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41"/>
      <c r="BX66" s="41"/>
      <c r="BY66" s="41"/>
      <c r="BZ66" s="41"/>
      <c r="CA66" s="41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</row>
    <row r="67" spans="1:255" ht="20" x14ac:dyDescent="0.2">
      <c r="A67" s="58" t="s">
        <v>0</v>
      </c>
      <c r="B67" s="76">
        <f>((1/0.000000000155125)*LN((0.000000000155125*$E$54*$B$12*$B$11*0.5)+1))/1000000</f>
        <v>28.957578372668305</v>
      </c>
      <c r="C67" s="71"/>
      <c r="D67" s="71"/>
      <c r="E67" s="72"/>
      <c r="F67" s="72"/>
      <c r="G67"/>
      <c r="H67"/>
      <c r="I67"/>
      <c r="N67" s="8"/>
      <c r="O67" s="43"/>
      <c r="P67" s="4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41"/>
      <c r="BX67" s="41"/>
      <c r="BY67" s="41"/>
      <c r="BZ67" s="41"/>
      <c r="CA67" s="41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</row>
    <row r="68" spans="1:255" ht="20" x14ac:dyDescent="0.2">
      <c r="A68" s="58" t="s">
        <v>1</v>
      </c>
      <c r="B68" s="76">
        <f>B67*SQRT((1/$C$54)+(1/$D$54))</f>
        <v>3.3129809967664672</v>
      </c>
      <c r="C68" s="71"/>
      <c r="D68" s="71"/>
      <c r="E68" s="72"/>
      <c r="F68" s="72"/>
      <c r="G68"/>
      <c r="H68"/>
      <c r="I68"/>
      <c r="N68" s="8"/>
      <c r="O68" s="43"/>
      <c r="P68" s="43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41"/>
      <c r="BX68" s="41"/>
      <c r="BY68" s="41"/>
      <c r="BZ68" s="41"/>
      <c r="CA68" s="41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</row>
    <row r="69" spans="1:255" ht="20" x14ac:dyDescent="0.2">
      <c r="A69" s="58"/>
      <c r="B69" s="76"/>
      <c r="C69" s="71"/>
      <c r="D69" s="71"/>
      <c r="E69" s="72"/>
      <c r="F69" s="72"/>
      <c r="G69"/>
      <c r="H69"/>
      <c r="I69"/>
      <c r="N69" s="8"/>
      <c r="O69" s="43"/>
      <c r="P69" s="43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41"/>
      <c r="BX69" s="41"/>
      <c r="BY69" s="41"/>
      <c r="BZ69" s="41"/>
      <c r="CA69" s="41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</row>
    <row r="70" spans="1:255" ht="20" x14ac:dyDescent="0.2">
      <c r="A70" s="70" t="s">
        <v>99</v>
      </c>
      <c r="B70" s="100">
        <f>COUNT(C25:C53)</f>
        <v>24</v>
      </c>
      <c r="C70" s="71"/>
      <c r="D70" s="71"/>
      <c r="E70" s="72"/>
      <c r="F70" s="72"/>
      <c r="G70"/>
      <c r="H70"/>
      <c r="I70"/>
      <c r="N70" s="8"/>
      <c r="O70" s="43"/>
      <c r="P70" s="4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41"/>
      <c r="BX70" s="41"/>
      <c r="BY70" s="41"/>
      <c r="BZ70" s="41"/>
      <c r="CA70" s="41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</row>
    <row r="71" spans="1:255" ht="20" x14ac:dyDescent="0.2">
      <c r="A71" s="77" t="s">
        <v>4</v>
      </c>
      <c r="B71" s="78">
        <f>$J$54</f>
        <v>18.804221011538242</v>
      </c>
      <c r="C71" s="79" t="s">
        <v>5</v>
      </c>
      <c r="D71" s="59">
        <f>B70-1</f>
        <v>23</v>
      </c>
      <c r="E71" s="71" t="s">
        <v>6</v>
      </c>
      <c r="F71" s="71"/>
      <c r="G71"/>
      <c r="H71"/>
      <c r="I71"/>
      <c r="N71" s="8"/>
      <c r="O71" s="43"/>
      <c r="P71" s="43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41"/>
      <c r="BX71" s="41"/>
      <c r="BY71" s="41"/>
      <c r="BZ71" s="41"/>
      <c r="CA71" s="41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</row>
    <row r="72" spans="1:255" ht="20" x14ac:dyDescent="0.2">
      <c r="A72" s="77" t="s">
        <v>10</v>
      </c>
      <c r="B72" s="78">
        <f>(CHIDIST(B71,D71))*100</f>
        <v>71.252762932122408</v>
      </c>
      <c r="C72" s="71" t="s">
        <v>11</v>
      </c>
      <c r="D72" s="71"/>
      <c r="E72" s="72"/>
      <c r="F72" s="72"/>
      <c r="G72"/>
      <c r="H72"/>
      <c r="I72"/>
      <c r="N72" s="8"/>
      <c r="O72" s="43"/>
      <c r="P72" s="43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41"/>
      <c r="BX72" s="41"/>
      <c r="BY72" s="41"/>
      <c r="BZ72" s="41"/>
      <c r="CA72" s="41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</row>
    <row r="73" spans="1:255" ht="20" x14ac:dyDescent="0.2">
      <c r="A73" s="77"/>
      <c r="B73" s="78"/>
      <c r="C73" s="71"/>
      <c r="D73" s="71"/>
      <c r="E73" s="72"/>
      <c r="F73" s="72"/>
      <c r="G73"/>
      <c r="H73"/>
      <c r="I73"/>
      <c r="N73" s="8"/>
      <c r="O73" s="43"/>
      <c r="P73" s="4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41"/>
      <c r="BX73" s="41"/>
      <c r="BY73" s="41"/>
      <c r="BZ73" s="41"/>
      <c r="CA73" s="41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</row>
    <row r="74" spans="1:255" ht="20" x14ac:dyDescent="0.2">
      <c r="A74" s="80"/>
      <c r="B74" s="81"/>
      <c r="C74" s="81"/>
      <c r="D74" s="81"/>
      <c r="E74" s="82"/>
      <c r="F74" s="82"/>
      <c r="G74"/>
      <c r="H74"/>
      <c r="I74"/>
      <c r="N74" s="8"/>
      <c r="O74" s="43"/>
      <c r="P74" s="43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41"/>
      <c r="BX74" s="41"/>
      <c r="BY74" s="41"/>
      <c r="BZ74" s="41"/>
      <c r="CA74" s="41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</row>
    <row r="75" spans="1:255" ht="20" x14ac:dyDescent="0.2">
      <c r="N75" s="8"/>
      <c r="O75" s="43"/>
      <c r="P75" s="43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41"/>
      <c r="BX75" s="41"/>
      <c r="BY75" s="41"/>
      <c r="BZ75" s="41"/>
      <c r="CA75" s="41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</row>
    <row r="76" spans="1:255" ht="20" x14ac:dyDescent="0.2">
      <c r="N76" s="8"/>
      <c r="O76" s="43"/>
      <c r="P76" s="43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41"/>
      <c r="BX76" s="41"/>
      <c r="BY76" s="41"/>
      <c r="BZ76" s="41"/>
      <c r="CA76" s="41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</row>
    <row r="77" spans="1:255" ht="20" x14ac:dyDescent="0.2">
      <c r="N77" s="8"/>
      <c r="O77" s="43"/>
      <c r="P77" s="4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41"/>
      <c r="BX77" s="41"/>
      <c r="BY77" s="41"/>
      <c r="BZ77" s="41"/>
      <c r="CA77" s="41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</row>
    <row r="78" spans="1:255" ht="20" x14ac:dyDescent="0.2">
      <c r="N78" s="8"/>
      <c r="O78" s="43"/>
      <c r="P78" s="4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41"/>
      <c r="BX78" s="41"/>
      <c r="BY78" s="41"/>
      <c r="BZ78" s="41"/>
      <c r="CA78" s="41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</row>
    <row r="79" spans="1:255" ht="20" x14ac:dyDescent="0.2">
      <c r="A79" s="9" t="s">
        <v>38</v>
      </c>
      <c r="N79" s="8"/>
      <c r="O79" s="43"/>
      <c r="P79" s="43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41"/>
      <c r="BX79" s="41"/>
      <c r="BY79" s="41"/>
      <c r="BZ79" s="41"/>
      <c r="CA79" s="41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</row>
    <row r="80" spans="1:255" ht="20" customHeight="1" x14ac:dyDescent="0.2">
      <c r="A80" s="10" t="s">
        <v>39</v>
      </c>
      <c r="B80" s="10" t="s">
        <v>40</v>
      </c>
      <c r="C80" s="10" t="s">
        <v>41</v>
      </c>
      <c r="D80" s="11" t="s">
        <v>47</v>
      </c>
      <c r="E80" s="32" t="s">
        <v>48</v>
      </c>
      <c r="N80" s="8"/>
      <c r="O80" s="43"/>
      <c r="P80" s="43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41"/>
      <c r="BX80" s="41"/>
      <c r="BY80" s="41"/>
      <c r="BZ80" s="41"/>
      <c r="CA80" s="41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</row>
    <row r="81" spans="1:255" ht="20" customHeight="1" x14ac:dyDescent="0.2">
      <c r="A81" s="7" t="s">
        <v>42</v>
      </c>
      <c r="B81" s="7">
        <f>0.6*(STDEV(M25:M53))</f>
        <v>0.12685697459248912</v>
      </c>
      <c r="C81" s="7">
        <f>C54/K54</f>
        <v>0.10119047619047619</v>
      </c>
      <c r="D81" s="30"/>
      <c r="E81" s="30"/>
      <c r="N81" s="8"/>
      <c r="O81" s="43"/>
      <c r="P81" s="43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41"/>
      <c r="BX81" s="41"/>
      <c r="BY81" s="41"/>
      <c r="BZ81" s="41"/>
      <c r="CA81" s="41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</row>
    <row r="82" spans="1:255" ht="20" customHeight="1" x14ac:dyDescent="0.2">
      <c r="A82" s="7">
        <v>1</v>
      </c>
      <c r="B82" s="7">
        <f>B81*(SQRT(SUM(O25:O53)/SUM(N25:N53)))</f>
        <v>0.11396842547074049</v>
      </c>
      <c r="C82" s="7">
        <f>SUM(P25:P53)/SUM(N25:N53)</f>
        <v>0.10133352203128168</v>
      </c>
      <c r="D82" s="31">
        <f t="shared" ref="D82:D101" si="46">B82-B81</f>
        <v>-1.2888549121748638E-2</v>
      </c>
      <c r="E82" s="31">
        <f t="shared" ref="E82:E101" si="47">C82-C81</f>
        <v>1.430458408054891E-4</v>
      </c>
      <c r="N82" s="8"/>
      <c r="O82" s="43"/>
      <c r="P82" s="43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41"/>
      <c r="BX82" s="41"/>
      <c r="BY82" s="41"/>
      <c r="BZ82" s="41"/>
      <c r="CA82" s="41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  <c r="IQ82" s="8"/>
      <c r="IR82" s="8"/>
      <c r="IS82" s="8"/>
      <c r="IT82" s="8"/>
      <c r="IU82" s="8"/>
    </row>
    <row r="83" spans="1:255" ht="20" customHeight="1" x14ac:dyDescent="0.2">
      <c r="A83" s="7">
        <v>2</v>
      </c>
      <c r="B83" s="7">
        <f>$B$82*(SQRT(SUM(R25:R53)/SUM(Q25:Q53)))</f>
        <v>0.10308684033887537</v>
      </c>
      <c r="C83" s="7">
        <f>SUM(S25:S53)/SUM(Q25:Q53)</f>
        <v>0.10131054089331171</v>
      </c>
      <c r="D83" s="31">
        <f t="shared" si="46"/>
        <v>-1.0881585131865115E-2</v>
      </c>
      <c r="E83" s="31">
        <f t="shared" si="47"/>
        <v>-2.298113796997403E-5</v>
      </c>
      <c r="N83" s="8"/>
      <c r="O83" s="43"/>
      <c r="P83" s="43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41"/>
      <c r="BX83" s="41"/>
      <c r="BY83" s="41"/>
      <c r="BZ83" s="41"/>
      <c r="CA83" s="41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</row>
    <row r="84" spans="1:255" ht="20" customHeight="1" x14ac:dyDescent="0.2">
      <c r="A84" s="7">
        <v>3</v>
      </c>
      <c r="B84" s="7">
        <f>$B$83*(SQRT(SUM(U25:U53)/SUM(T25:T53)))</f>
        <v>9.3782521293817103E-2</v>
      </c>
      <c r="C84" s="7">
        <f>SUM(V25:V53)/SUM(T25:T53)</f>
        <v>0.10129161326041872</v>
      </c>
      <c r="D84" s="31">
        <f t="shared" si="46"/>
        <v>-9.304319045058268E-3</v>
      </c>
      <c r="E84" s="31">
        <f t="shared" si="47"/>
        <v>-1.8927632892989932E-5</v>
      </c>
      <c r="N84" s="8"/>
      <c r="O84" s="43"/>
      <c r="P84" s="43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41"/>
      <c r="BX84" s="41"/>
      <c r="BY84" s="41"/>
      <c r="BZ84" s="41"/>
      <c r="CA84" s="41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</row>
    <row r="85" spans="1:255" ht="20" customHeight="1" x14ac:dyDescent="0.2">
      <c r="A85" s="7">
        <v>4</v>
      </c>
      <c r="B85" s="7">
        <f>$B$84*(SQRT(SUM(X25:X53)/SUM(W25:W53)))</f>
        <v>8.570563904177779E-2</v>
      </c>
      <c r="C85" s="7">
        <f>SUM(Y25:Y53)/SUM(W25:W53)</f>
        <v>0.10127610849334993</v>
      </c>
      <c r="D85" s="31">
        <f t="shared" si="46"/>
        <v>-8.0768822520393135E-3</v>
      </c>
      <c r="E85" s="31">
        <f t="shared" si="47"/>
        <v>-1.550476706878301E-5</v>
      </c>
      <c r="N85" s="8"/>
      <c r="O85" s="43"/>
      <c r="P85" s="43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41"/>
      <c r="BX85" s="41"/>
      <c r="BY85" s="41"/>
      <c r="BZ85" s="41"/>
      <c r="CA85" s="41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  <c r="IQ85" s="8"/>
      <c r="IR85" s="8"/>
      <c r="IS85" s="8"/>
      <c r="IT85" s="8"/>
      <c r="IU85" s="8"/>
    </row>
    <row r="86" spans="1:255" ht="20" customHeight="1" x14ac:dyDescent="0.2">
      <c r="A86" s="7">
        <v>5</v>
      </c>
      <c r="B86" s="7">
        <f>$B$85*(SQRT(SUM(AA25:AA53)/SUM(Z25:Z53)))</f>
        <v>7.8609292035617589E-2</v>
      </c>
      <c r="C86" s="7">
        <f>SUM(AB25:AB53)/SUM(Z25:Z53)</f>
        <v>0.10126330231775003</v>
      </c>
      <c r="D86" s="31">
        <f t="shared" si="46"/>
        <v>-7.0963470061602002E-3</v>
      </c>
      <c r="E86" s="31">
        <f t="shared" si="47"/>
        <v>-1.2806175599899827E-5</v>
      </c>
      <c r="N86" s="8"/>
      <c r="O86" s="43"/>
      <c r="P86" s="43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41"/>
      <c r="BX86" s="41"/>
      <c r="BY86" s="41"/>
      <c r="BZ86" s="41"/>
      <c r="CA86" s="41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</row>
    <row r="87" spans="1:255" ht="20" customHeight="1" x14ac:dyDescent="0.2">
      <c r="A87" s="7">
        <v>6</v>
      </c>
      <c r="B87" s="7">
        <f>$B$86*(SQRT(SUM(AD25:AD53)/SUM(AC25:AC53)))</f>
        <v>7.2313451107092197E-2</v>
      </c>
      <c r="C87" s="7">
        <f>SUM(AE25:AE53)/SUM(AC25:AC53)</f>
        <v>0.10125264621246342</v>
      </c>
      <c r="D87" s="31">
        <f t="shared" si="46"/>
        <v>-6.2958409285253925E-3</v>
      </c>
      <c r="E87" s="31">
        <f t="shared" si="47"/>
        <v>-1.065610528661054E-5</v>
      </c>
      <c r="N87" s="8"/>
      <c r="O87" s="43"/>
      <c r="P87" s="43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41"/>
      <c r="BX87" s="41"/>
      <c r="BY87" s="41"/>
      <c r="BZ87" s="41"/>
      <c r="CA87" s="41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</row>
    <row r="88" spans="1:255" ht="20" customHeight="1" x14ac:dyDescent="0.2">
      <c r="A88" s="7">
        <v>7</v>
      </c>
      <c r="B88" s="7">
        <f>$B$87*(SQRT(SUM(AG25:AG53)/SUM(AF25:AF53)))</f>
        <v>6.6683159765231897E-2</v>
      </c>
      <c r="C88" s="7">
        <f>SUM(AH25:AH53)/SUM(AF25:AF53)</f>
        <v>0.10124372120007873</v>
      </c>
      <c r="D88" s="31">
        <f t="shared" si="46"/>
        <v>-5.6302913418602996E-3</v>
      </c>
      <c r="E88" s="31">
        <f t="shared" si="47"/>
        <v>-8.9250123846973395E-6</v>
      </c>
      <c r="N88" s="8"/>
      <c r="O88" s="43"/>
      <c r="P88" s="43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41"/>
      <c r="BX88" s="41"/>
      <c r="BY88" s="41"/>
      <c r="BZ88" s="41"/>
      <c r="CA88" s="41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</row>
    <row r="89" spans="1:255" ht="20" customHeight="1" x14ac:dyDescent="0.2">
      <c r="A89" s="7">
        <v>8</v>
      </c>
      <c r="B89" s="7">
        <f>$B$88*(SQRT(SUM(AJ25:AJ53)/SUM(AI25:AI53)))</f>
        <v>6.1614827180826372E-2</v>
      </c>
      <c r="C89" s="7">
        <f>SUM(AK25:AK53)/SUM(AI25:AI53)</f>
        <v>0.1012362035740034</v>
      </c>
      <c r="D89" s="31">
        <f t="shared" si="46"/>
        <v>-5.0683325844055258E-3</v>
      </c>
      <c r="E89" s="31">
        <f t="shared" si="47"/>
        <v>-7.5176260753290203E-6</v>
      </c>
      <c r="N89" s="8"/>
      <c r="O89" s="43"/>
      <c r="P89" s="43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41"/>
      <c r="BX89" s="41"/>
      <c r="BY89" s="41"/>
      <c r="BZ89" s="41"/>
      <c r="CA89" s="41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</row>
    <row r="90" spans="1:255" ht="20" customHeight="1" x14ac:dyDescent="0.2">
      <c r="A90" s="7">
        <v>9</v>
      </c>
      <c r="B90" s="7">
        <f>$B$89*(SQRT(SUM(AM25:AM53)/SUM(AL25:AL53)))</f>
        <v>5.7027291500237595E-2</v>
      </c>
      <c r="C90" s="7">
        <f>SUM(AN25:AN53)/SUM(AL25:AL53)</f>
        <v>0.10122984026359119</v>
      </c>
      <c r="D90" s="31">
        <f t="shared" si="46"/>
        <v>-4.5875356805887765E-3</v>
      </c>
      <c r="E90" s="31">
        <f t="shared" si="47"/>
        <v>-6.3633104122051698E-6</v>
      </c>
      <c r="N90" s="8"/>
      <c r="O90" s="43"/>
      <c r="P90" s="43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41"/>
      <c r="BX90" s="41"/>
      <c r="BY90" s="41"/>
      <c r="BZ90" s="41"/>
      <c r="CA90" s="41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</row>
    <row r="91" spans="1:255" ht="20" customHeight="1" x14ac:dyDescent="0.2">
      <c r="A91" s="7">
        <v>10</v>
      </c>
      <c r="B91" s="7">
        <f>$B$90*(SQRT(SUM(AP25:AP53)/SUM(AO25:AO53)))</f>
        <v>5.2855810232696657E-2</v>
      </c>
      <c r="C91" s="7">
        <f>SUM(AQ25:AQ53)/SUM(AO25:AO53)</f>
        <v>0.10122443115061033</v>
      </c>
      <c r="D91" s="31">
        <f t="shared" si="46"/>
        <v>-4.1714812675409385E-3</v>
      </c>
      <c r="E91" s="31">
        <f t="shared" si="47"/>
        <v>-5.4091129808586658E-6</v>
      </c>
      <c r="N91" s="8"/>
      <c r="O91" s="43"/>
      <c r="P91" s="43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41"/>
      <c r="BX91" s="41"/>
      <c r="BY91" s="41"/>
      <c r="BZ91" s="41"/>
      <c r="CA91" s="41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/>
      <c r="IT91" s="8"/>
      <c r="IU91" s="8"/>
    </row>
    <row r="92" spans="1:255" ht="20" customHeight="1" x14ac:dyDescent="0.15">
      <c r="A92" s="7">
        <v>11</v>
      </c>
      <c r="B92" s="7">
        <f>$B$91*(SQRT(SUM(AS25:AS53)/SUM(AR25:AR53)))</f>
        <v>4.9047909686866502E-2</v>
      </c>
      <c r="C92" s="7">
        <f>SUM(AT25:AT53)/SUM(AR25:AR53)</f>
        <v>0.10121981629234783</v>
      </c>
      <c r="D92" s="31">
        <f t="shared" si="46"/>
        <v>-3.8079005458301549E-3</v>
      </c>
      <c r="E92" s="31">
        <f t="shared" si="47"/>
        <v>-4.6148582625027412E-6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41"/>
      <c r="BX92" s="41"/>
      <c r="BY92" s="41"/>
      <c r="BZ92" s="41"/>
      <c r="CA92" s="41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</row>
    <row r="93" spans="1:255" ht="20" customHeight="1" x14ac:dyDescent="0.15">
      <c r="A93" s="7">
        <v>12</v>
      </c>
      <c r="B93" s="7">
        <f>$B$92*(SQRT(SUM(AV25:AV53)/SUM(AU25:AU53)))</f>
        <v>4.5560450970747776E-2</v>
      </c>
      <c r="C93" s="7">
        <f>SUM(AW25:AW53)/SUM(AU25:AU53)</f>
        <v>0.10121586659734282</v>
      </c>
      <c r="D93" s="31">
        <f t="shared" si="46"/>
        <v>-3.4874587161187257E-3</v>
      </c>
      <c r="E93" s="31">
        <f t="shared" si="47"/>
        <v>-3.9496950050149637E-6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41"/>
      <c r="BX93" s="41"/>
      <c r="BY93" s="41"/>
      <c r="BZ93" s="41"/>
      <c r="CA93" s="41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</row>
    <row r="94" spans="1:255" ht="20" customHeight="1" x14ac:dyDescent="0.15">
      <c r="A94" s="7">
        <v>13</v>
      </c>
      <c r="B94" s="7">
        <f>$B$93*(SQRT(SUM(AY25:AY53)/SUM(AX25:AX53)))</f>
        <v>4.2357513216424204E-2</v>
      </c>
      <c r="C94" s="7">
        <f>SUM(AZ25:AZ53)/SUM(AX25:AX53)</f>
        <v>0.101212476942814</v>
      </c>
      <c r="D94" s="31">
        <f t="shared" si="46"/>
        <v>-3.2029377543235718E-3</v>
      </c>
      <c r="E94" s="31">
        <f t="shared" si="47"/>
        <v>-3.389654528812569E-6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41"/>
      <c r="BX94" s="41"/>
      <c r="BY94" s="41"/>
      <c r="BZ94" s="41"/>
      <c r="CA94" s="41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</row>
    <row r="95" spans="1:255" ht="20" customHeight="1" x14ac:dyDescent="0.15">
      <c r="A95" s="7">
        <v>14</v>
      </c>
      <c r="B95" s="7">
        <f>$B$94*(SQRT(SUM(BB25:BB53)/SUM(BA25:BA53)))</f>
        <v>3.9408838582332101E-2</v>
      </c>
      <c r="C95" s="7">
        <f>SUM(BC25:BC53)/SUM(BA25:BA53)</f>
        <v>0.10120956103405455</v>
      </c>
      <c r="D95" s="31">
        <f t="shared" si="46"/>
        <v>-2.9486746340921036E-3</v>
      </c>
      <c r="E95" s="31">
        <f t="shared" si="47"/>
        <v>-2.9159087594488042E-6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41"/>
      <c r="BX95" s="41"/>
      <c r="BY95" s="41"/>
      <c r="BZ95" s="41"/>
      <c r="CA95" s="41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</row>
    <row r="96" spans="1:255" ht="20" customHeight="1" x14ac:dyDescent="0.15">
      <c r="A96" s="7">
        <v>15</v>
      </c>
      <c r="B96" s="7">
        <f>$B$95*(SQRT(SUM(BE25:BE53)/SUM(BD25:BD53)))</f>
        <v>3.6688671414235666E-2</v>
      </c>
      <c r="C96" s="7">
        <f>SUM(BF25:BF53)/SUM(BD25:BD53)</f>
        <v>0.10120704751965789</v>
      </c>
      <c r="D96" s="31">
        <f t="shared" si="46"/>
        <v>-2.7201671680964351E-3</v>
      </c>
      <c r="E96" s="31">
        <f t="shared" si="47"/>
        <v>-2.5135143966598106E-6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41"/>
      <c r="BX96" s="41"/>
      <c r="BY96" s="41"/>
      <c r="BZ96" s="41"/>
      <c r="CA96" s="41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</row>
    <row r="97" spans="1:255" ht="20" customHeight="1" x14ac:dyDescent="0.15">
      <c r="A97" s="7">
        <v>16</v>
      </c>
      <c r="B97" s="7">
        <f>$B$96*(SQRT(SUM(BH25:BH53)/SUM(BG25:BG53)))</f>
        <v>3.4174879049873014E-2</v>
      </c>
      <c r="C97" s="7">
        <f>SUM(BI25:BI53)/SUM(BG25:BG53)</f>
        <v>0.1012048770222342</v>
      </c>
      <c r="D97" s="31">
        <f t="shared" si="46"/>
        <v>-2.513792364362652E-3</v>
      </c>
      <c r="E97" s="31">
        <f t="shared" si="47"/>
        <v>-2.170497423695239E-6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41"/>
      <c r="BX97" s="41"/>
      <c r="BY97" s="41"/>
      <c r="BZ97" s="41"/>
      <c r="CA97" s="41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</row>
    <row r="98" spans="1:255" ht="20" customHeight="1" x14ac:dyDescent="0.15">
      <c r="A98" s="7">
        <v>17</v>
      </c>
      <c r="B98" s="7">
        <f>$B$97*(SQRT(SUM(BK25:BK53)/SUM(BJ25:BJ53)))</f>
        <v>3.1848277186167707E-2</v>
      </c>
      <c r="C98" s="7">
        <f>SUM(BL25:BL53)/SUM(BJ25:BJ53)</f>
        <v>0.1012029998440496</v>
      </c>
      <c r="D98" s="31">
        <f t="shared" si="46"/>
        <v>-2.3266018637053063E-3</v>
      </c>
      <c r="E98" s="31">
        <f t="shared" si="47"/>
        <v>-1.877178184603312E-6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41"/>
      <c r="BX98" s="41"/>
      <c r="BY98" s="41"/>
      <c r="BZ98" s="41"/>
      <c r="CA98" s="41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</row>
    <row r="99" spans="1:255" ht="20" customHeight="1" x14ac:dyDescent="0.15">
      <c r="A99" s="7">
        <v>18</v>
      </c>
      <c r="B99" s="7">
        <f>$B$98*(SQRT(SUM(BN25:BN53)/SUM(BM25:BM53)))</f>
        <v>2.9692106024172393E-2</v>
      </c>
      <c r="C99" s="7">
        <f>SUM(BO25:BO53)/SUM(BM25:BM53)</f>
        <v>0.10120137417577679</v>
      </c>
      <c r="D99" s="31">
        <f t="shared" si="46"/>
        <v>-2.1561711619953149E-3</v>
      </c>
      <c r="E99" s="31">
        <f t="shared" si="47"/>
        <v>-1.6256682728033045E-6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41"/>
      <c r="BX99" s="41"/>
      <c r="BY99" s="41"/>
      <c r="BZ99" s="41"/>
      <c r="CA99" s="41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</row>
    <row r="100" spans="1:255" ht="20" customHeight="1" x14ac:dyDescent="0.15">
      <c r="A100" s="7">
        <v>19</v>
      </c>
      <c r="B100" s="7">
        <f>$B$99*(SQRT(SUM(BN25:BN53)/SUM(BM25:BM53)))</f>
        <v>2.7681910547224162E-2</v>
      </c>
      <c r="C100" s="7">
        <f>SUM(BO25:BO53)/SUM(BM25:BM53)</f>
        <v>0.10120137417577679</v>
      </c>
      <c r="D100" s="31">
        <f t="shared" si="46"/>
        <v>-2.0101954769482303E-3</v>
      </c>
      <c r="E100" s="31">
        <f t="shared" si="47"/>
        <v>0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41"/>
      <c r="BX100" s="41"/>
      <c r="BY100" s="41"/>
      <c r="BZ100" s="41"/>
      <c r="CA100" s="41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H100" s="8"/>
      <c r="II100" s="8"/>
      <c r="IJ100" s="8"/>
      <c r="IK100" s="8"/>
      <c r="IL100" s="8"/>
      <c r="IM100" s="8"/>
      <c r="IN100" s="8"/>
      <c r="IO100" s="8"/>
      <c r="IP100" s="8"/>
      <c r="IQ100" s="8"/>
      <c r="IR100" s="8"/>
      <c r="IS100" s="8"/>
      <c r="IT100" s="8"/>
      <c r="IU100" s="8"/>
    </row>
    <row r="101" spans="1:255" ht="20" customHeight="1" x14ac:dyDescent="0.15">
      <c r="A101" s="7">
        <v>20</v>
      </c>
      <c r="B101" s="7">
        <f>$B$100*(SQRT(SUM(BT25:BT53)/SUM(BS25:BS53)))</f>
        <v>2.5824629718811082E-2</v>
      </c>
      <c r="C101" s="7">
        <f>SUM(BU25:BU53)/SUM(BS25:BS53)</f>
        <v>0.10119873575360352</v>
      </c>
      <c r="D101" s="31">
        <f t="shared" si="46"/>
        <v>-1.8572808284130805E-3</v>
      </c>
      <c r="E101" s="31">
        <f t="shared" si="47"/>
        <v>-2.6384221732678181E-6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41"/>
      <c r="BX101" s="41"/>
      <c r="BY101" s="41"/>
      <c r="BZ101" s="41"/>
      <c r="CA101" s="41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</row>
    <row r="102" spans="1:255" x14ac:dyDescent="0.15">
      <c r="A102" s="7"/>
      <c r="B102" s="7"/>
      <c r="C102" s="7"/>
      <c r="D102" s="31"/>
      <c r="E102" s="31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41"/>
      <c r="BX102" s="41"/>
      <c r="BY102" s="41"/>
      <c r="BZ102" s="41"/>
      <c r="CA102" s="41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</row>
    <row r="103" spans="1:255" x14ac:dyDescent="0.15">
      <c r="A103" s="7"/>
      <c r="B103" s="7"/>
      <c r="C103" s="7"/>
      <c r="D103" s="31"/>
      <c r="E103" s="31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41"/>
      <c r="BX103" s="41"/>
      <c r="BY103" s="41"/>
      <c r="BZ103" s="41"/>
      <c r="CA103" s="41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  <c r="IQ103" s="8"/>
      <c r="IR103" s="8"/>
      <c r="IS103" s="8"/>
      <c r="IT103" s="8"/>
      <c r="IU103" s="8"/>
    </row>
    <row r="104" spans="1:255" x14ac:dyDescent="0.15">
      <c r="A104" s="7"/>
      <c r="B104" s="7"/>
      <c r="C104" s="7"/>
      <c r="D104" s="31"/>
      <c r="E104" s="31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41"/>
      <c r="BX104" s="41"/>
      <c r="BY104" s="41"/>
      <c r="BZ104" s="41"/>
      <c r="CA104" s="41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</row>
    <row r="105" spans="1:255" x14ac:dyDescent="0.15">
      <c r="A105" s="7"/>
      <c r="B105" s="7"/>
      <c r="C105" s="7"/>
      <c r="D105" s="31"/>
      <c r="E105" s="31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41"/>
      <c r="BX105" s="41"/>
      <c r="BY105" s="41"/>
      <c r="BZ105" s="41"/>
      <c r="CA105" s="41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</row>
    <row r="106" spans="1:255" x14ac:dyDescent="0.15">
      <c r="A106" s="7"/>
      <c r="B106" s="7"/>
      <c r="C106" s="7"/>
      <c r="D106" s="31"/>
      <c r="E106" s="31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41"/>
      <c r="BX106" s="41"/>
      <c r="BY106" s="41"/>
      <c r="BZ106" s="41"/>
      <c r="CA106" s="41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</row>
    <row r="107" spans="1:255" x14ac:dyDescent="0.15">
      <c r="A107" s="7"/>
      <c r="B107" s="7"/>
      <c r="C107" s="7"/>
      <c r="D107" s="31"/>
      <c r="E107" s="31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41"/>
      <c r="BX107" s="41"/>
      <c r="BY107" s="41"/>
      <c r="BZ107" s="41"/>
      <c r="CA107" s="41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</row>
    <row r="108" spans="1:255" x14ac:dyDescent="0.15">
      <c r="A108" s="7"/>
      <c r="B108" s="7"/>
      <c r="C108" s="7"/>
      <c r="D108" s="31"/>
      <c r="E108" s="31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41"/>
      <c r="BX108" s="41"/>
      <c r="BY108" s="41"/>
      <c r="BZ108" s="41"/>
      <c r="CA108" s="41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</row>
    <row r="109" spans="1:255" x14ac:dyDescent="0.15">
      <c r="A109" s="7"/>
      <c r="B109" s="7"/>
      <c r="C109" s="7"/>
      <c r="D109" s="31"/>
      <c r="E109" s="31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41"/>
      <c r="BX109" s="41"/>
      <c r="BY109" s="41"/>
      <c r="BZ109" s="41"/>
      <c r="CA109" s="41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</row>
    <row r="110" spans="1:255" x14ac:dyDescent="0.15">
      <c r="A110" s="7"/>
      <c r="B110" s="7"/>
      <c r="C110" s="7"/>
      <c r="D110" s="31"/>
      <c r="E110" s="31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41"/>
      <c r="BX110" s="41"/>
      <c r="BY110" s="41"/>
      <c r="BZ110" s="41"/>
      <c r="CA110" s="41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</row>
    <row r="111" spans="1:255" x14ac:dyDescent="0.15">
      <c r="A111" s="7"/>
      <c r="B111" s="7"/>
      <c r="C111" s="7"/>
      <c r="D111" s="31"/>
      <c r="E111" s="31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41"/>
      <c r="BX111" s="41"/>
      <c r="BY111" s="41"/>
      <c r="BZ111" s="41"/>
      <c r="CA111" s="41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</row>
    <row r="112" spans="1:255" x14ac:dyDescent="0.15">
      <c r="A112" s="7"/>
      <c r="B112" s="7"/>
      <c r="C112" s="7"/>
      <c r="D112" s="31"/>
      <c r="E112" s="31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41"/>
      <c r="BX112" s="41"/>
      <c r="BY112" s="41"/>
      <c r="BZ112" s="41"/>
      <c r="CA112" s="41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  <c r="IQ112" s="8"/>
      <c r="IR112" s="8"/>
      <c r="IS112" s="8"/>
      <c r="IT112" s="8"/>
      <c r="IU112" s="8"/>
    </row>
    <row r="113" spans="1:255" x14ac:dyDescent="0.15">
      <c r="A113" s="7"/>
      <c r="B113" s="7"/>
      <c r="C113" s="7"/>
      <c r="D113" s="31"/>
      <c r="E113" s="31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41"/>
      <c r="BX113" s="41"/>
      <c r="BY113" s="41"/>
      <c r="BZ113" s="41"/>
      <c r="CA113" s="41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/>
      <c r="IT113" s="8"/>
      <c r="IU113" s="8"/>
    </row>
    <row r="114" spans="1:255" x14ac:dyDescent="0.15">
      <c r="A114" s="7"/>
      <c r="B114" s="7"/>
      <c r="C114" s="7"/>
      <c r="D114" s="31"/>
      <c r="E114" s="31"/>
    </row>
    <row r="115" spans="1:255" x14ac:dyDescent="0.15">
      <c r="A115" s="7"/>
      <c r="B115" s="7"/>
      <c r="C115" s="7"/>
      <c r="D115" s="31"/>
      <c r="E115" s="31"/>
    </row>
    <row r="116" spans="1:255" x14ac:dyDescent="0.15">
      <c r="A116" s="7"/>
      <c r="B116" s="7"/>
      <c r="C116" s="7"/>
      <c r="D116" s="31"/>
      <c r="E116" s="31"/>
    </row>
    <row r="117" spans="1:255" x14ac:dyDescent="0.15">
      <c r="A117" s="7"/>
      <c r="B117" s="7"/>
      <c r="C117" s="7"/>
      <c r="D117" s="31"/>
      <c r="E117" s="31"/>
    </row>
    <row r="118" spans="1:255" x14ac:dyDescent="0.15">
      <c r="A118" s="7"/>
      <c r="B118" s="7"/>
      <c r="C118" s="7"/>
      <c r="D118" s="31"/>
      <c r="E118" s="31"/>
    </row>
    <row r="119" spans="1:255" x14ac:dyDescent="0.15">
      <c r="A119" s="7"/>
      <c r="B119" s="7"/>
      <c r="C119" s="7"/>
      <c r="D119" s="31"/>
      <c r="E119" s="31"/>
    </row>
    <row r="120" spans="1:255" x14ac:dyDescent="0.15">
      <c r="A120" s="7"/>
      <c r="B120" s="7"/>
      <c r="C120" s="7"/>
      <c r="D120" s="31"/>
      <c r="E120" s="31"/>
    </row>
    <row r="121" spans="1:255" x14ac:dyDescent="0.15">
      <c r="A121" s="7"/>
      <c r="B121" s="7"/>
      <c r="C121" s="7"/>
      <c r="D121" s="31"/>
      <c r="E121" s="31"/>
    </row>
    <row r="122" spans="1:255" x14ac:dyDescent="0.15">
      <c r="A122" s="7"/>
      <c r="B122" s="7"/>
      <c r="C122" s="7"/>
      <c r="D122" s="31"/>
      <c r="E122" s="31"/>
    </row>
    <row r="123" spans="1:255" x14ac:dyDescent="0.15">
      <c r="A123" s="7"/>
      <c r="B123" s="7"/>
      <c r="C123" s="7"/>
      <c r="D123" s="31"/>
      <c r="E123" s="31"/>
    </row>
    <row r="124" spans="1:255" x14ac:dyDescent="0.15">
      <c r="A124" s="7"/>
      <c r="B124" s="7"/>
      <c r="C124" s="7"/>
      <c r="D124" s="31"/>
      <c r="E124" s="31"/>
    </row>
    <row r="125" spans="1:255" x14ac:dyDescent="0.15">
      <c r="A125" s="7"/>
      <c r="B125" s="7"/>
      <c r="C125" s="7"/>
      <c r="D125" s="31"/>
      <c r="E125" s="31"/>
    </row>
    <row r="126" spans="1:255" x14ac:dyDescent="0.15">
      <c r="A126" s="7"/>
      <c r="B126" s="7"/>
      <c r="C126" s="7"/>
      <c r="D126" s="31"/>
      <c r="E126" s="31"/>
    </row>
    <row r="127" spans="1:255" x14ac:dyDescent="0.15">
      <c r="A127" s="7"/>
      <c r="B127" s="7"/>
      <c r="C127" s="7"/>
      <c r="D127" s="31"/>
      <c r="E127" s="31"/>
    </row>
    <row r="128" spans="1:255" x14ac:dyDescent="0.15">
      <c r="A128" s="7"/>
      <c r="B128" s="7"/>
      <c r="C128" s="7"/>
      <c r="D128" s="31"/>
      <c r="E128" s="31"/>
    </row>
    <row r="129" spans="1:5" x14ac:dyDescent="0.15">
      <c r="A129" s="7"/>
      <c r="B129" s="7"/>
      <c r="C129" s="7"/>
      <c r="D129" s="31"/>
      <c r="E129" s="31"/>
    </row>
    <row r="130" spans="1:5" x14ac:dyDescent="0.15">
      <c r="A130" s="7"/>
      <c r="B130" s="7"/>
      <c r="C130" s="7"/>
      <c r="D130" s="31"/>
      <c r="E130" s="31"/>
    </row>
    <row r="131" spans="1:5" x14ac:dyDescent="0.15">
      <c r="A131" s="7"/>
      <c r="B131" s="7"/>
      <c r="C131" s="7"/>
      <c r="D131" s="31"/>
      <c r="E131" s="31"/>
    </row>
    <row r="132" spans="1:5" x14ac:dyDescent="0.15">
      <c r="A132" s="7"/>
      <c r="B132" s="7"/>
      <c r="C132" s="7"/>
      <c r="D132" s="31"/>
      <c r="E132" s="31"/>
    </row>
    <row r="133" spans="1:5" x14ac:dyDescent="0.15">
      <c r="A133" s="7"/>
      <c r="B133" s="7"/>
      <c r="C133" s="7"/>
      <c r="D133" s="31"/>
      <c r="E133" s="31"/>
    </row>
    <row r="134" spans="1:5" x14ac:dyDescent="0.15">
      <c r="A134" s="7"/>
      <c r="B134" s="7"/>
      <c r="C134" s="7"/>
      <c r="D134" s="31"/>
      <c r="E134" s="31"/>
    </row>
    <row r="135" spans="1:5" x14ac:dyDescent="0.15">
      <c r="A135" s="7"/>
      <c r="B135" s="7"/>
      <c r="C135" s="7"/>
      <c r="D135" s="31"/>
      <c r="E135" s="31"/>
    </row>
    <row r="136" spans="1:5" x14ac:dyDescent="0.15">
      <c r="A136" s="7"/>
      <c r="B136" s="7"/>
      <c r="C136" s="7"/>
      <c r="D136" s="31"/>
      <c r="E136" s="31"/>
    </row>
    <row r="137" spans="1:5" x14ac:dyDescent="0.15">
      <c r="A137" s="7"/>
      <c r="B137" s="7"/>
      <c r="C137" s="7"/>
      <c r="D137" s="31"/>
      <c r="E137" s="31"/>
    </row>
    <row r="138" spans="1:5" x14ac:dyDescent="0.15">
      <c r="A138" s="7"/>
      <c r="B138" s="7"/>
      <c r="C138" s="7"/>
      <c r="D138" s="31"/>
      <c r="E138" s="31"/>
    </row>
    <row r="139" spans="1:5" x14ac:dyDescent="0.15">
      <c r="A139" s="7"/>
      <c r="B139" s="7"/>
      <c r="C139" s="7"/>
      <c r="D139" s="31"/>
      <c r="E139" s="31"/>
    </row>
    <row r="140" spans="1:5" x14ac:dyDescent="0.15">
      <c r="A140" s="7"/>
      <c r="B140" s="7"/>
      <c r="C140" s="7"/>
      <c r="D140" s="31"/>
      <c r="E140" s="31"/>
    </row>
    <row r="141" spans="1:5" x14ac:dyDescent="0.15">
      <c r="A141" s="7"/>
      <c r="B141" s="7"/>
      <c r="C141" s="7"/>
      <c r="D141" s="31"/>
      <c r="E141" s="31"/>
    </row>
    <row r="142" spans="1:5" x14ac:dyDescent="0.15">
      <c r="A142" s="7"/>
      <c r="B142" s="7"/>
      <c r="C142" s="7"/>
      <c r="D142" s="31"/>
      <c r="E142" s="31"/>
    </row>
    <row r="143" spans="1:5" x14ac:dyDescent="0.15">
      <c r="A143" s="7"/>
      <c r="B143" s="7"/>
      <c r="C143" s="7"/>
      <c r="D143" s="31"/>
      <c r="E143" s="31"/>
    </row>
    <row r="144" spans="1:5" x14ac:dyDescent="0.15">
      <c r="A144" s="7"/>
      <c r="B144" s="7"/>
      <c r="C144" s="7"/>
      <c r="D144" s="31"/>
      <c r="E144" s="31"/>
    </row>
    <row r="145" spans="1:5" x14ac:dyDescent="0.15">
      <c r="A145" s="7"/>
      <c r="B145" s="7"/>
      <c r="C145" s="7"/>
      <c r="D145" s="31"/>
      <c r="E145" s="31"/>
    </row>
    <row r="146" spans="1:5" x14ac:dyDescent="0.15">
      <c r="A146" s="7"/>
      <c r="B146" s="7"/>
      <c r="C146" s="7"/>
      <c r="D146" s="31"/>
      <c r="E146" s="31"/>
    </row>
    <row r="147" spans="1:5" x14ac:dyDescent="0.15">
      <c r="A147" s="7"/>
      <c r="B147" s="7"/>
      <c r="C147" s="7"/>
      <c r="D147" s="31"/>
      <c r="E147" s="31"/>
    </row>
    <row r="148" spans="1:5" x14ac:dyDescent="0.15">
      <c r="A148" s="7"/>
      <c r="B148" s="7"/>
      <c r="C148" s="7"/>
      <c r="D148" s="31"/>
      <c r="E148" s="31"/>
    </row>
    <row r="149" spans="1:5" x14ac:dyDescent="0.15">
      <c r="A149" s="7"/>
      <c r="B149" s="7"/>
      <c r="C149" s="7"/>
      <c r="D149" s="31"/>
      <c r="E149" s="31"/>
    </row>
    <row r="150" spans="1:5" x14ac:dyDescent="0.15">
      <c r="A150" s="7"/>
      <c r="B150" s="7"/>
      <c r="C150" s="7"/>
      <c r="D150" s="31"/>
      <c r="E150" s="31"/>
    </row>
    <row r="151" spans="1:5" x14ac:dyDescent="0.15">
      <c r="A151" s="7"/>
      <c r="B151" s="7"/>
      <c r="C151" s="7"/>
      <c r="D151" s="31"/>
      <c r="E151" s="31"/>
    </row>
    <row r="152" spans="1:5" x14ac:dyDescent="0.15">
      <c r="A152" s="7"/>
      <c r="B152" s="7"/>
      <c r="C152" s="7"/>
      <c r="D152" s="31"/>
      <c r="E152" s="31"/>
    </row>
    <row r="153" spans="1:5" x14ac:dyDescent="0.15">
      <c r="A153" s="7"/>
      <c r="B153" s="7"/>
      <c r="C153" s="7"/>
      <c r="D153" s="31"/>
      <c r="E153" s="31"/>
    </row>
    <row r="154" spans="1:5" x14ac:dyDescent="0.15">
      <c r="A154" s="7"/>
      <c r="B154" s="7"/>
      <c r="C154" s="7"/>
      <c r="D154" s="31"/>
      <c r="E154" s="31"/>
    </row>
    <row r="155" spans="1:5" x14ac:dyDescent="0.15">
      <c r="A155" s="7"/>
      <c r="B155" s="7"/>
      <c r="C155" s="7"/>
      <c r="D155" s="31"/>
      <c r="E155" s="31"/>
    </row>
    <row r="156" spans="1:5" x14ac:dyDescent="0.15">
      <c r="A156" s="7"/>
      <c r="B156" s="7"/>
      <c r="C156" s="7"/>
      <c r="D156" s="31"/>
      <c r="E156" s="31"/>
    </row>
    <row r="157" spans="1:5" x14ac:dyDescent="0.15">
      <c r="A157" s="7"/>
      <c r="B157" s="7"/>
      <c r="C157" s="7"/>
      <c r="D157" s="31"/>
      <c r="E157" s="31"/>
    </row>
    <row r="158" spans="1:5" x14ac:dyDescent="0.15">
      <c r="A158" s="7"/>
      <c r="B158" s="7"/>
      <c r="C158" s="7"/>
      <c r="D158" s="31"/>
      <c r="E158" s="31"/>
    </row>
    <row r="159" spans="1:5" x14ac:dyDescent="0.15">
      <c r="A159" s="7"/>
      <c r="B159" s="7"/>
      <c r="C159" s="7"/>
      <c r="D159" s="31"/>
      <c r="E159" s="31"/>
    </row>
    <row r="160" spans="1:5" x14ac:dyDescent="0.15">
      <c r="A160" s="7"/>
      <c r="B160" s="7"/>
      <c r="C160" s="7"/>
      <c r="D160" s="31"/>
      <c r="E160" s="31"/>
    </row>
    <row r="161" spans="1:5" x14ac:dyDescent="0.15">
      <c r="A161" s="7"/>
      <c r="B161" s="7"/>
      <c r="C161" s="7"/>
      <c r="D161" s="31"/>
      <c r="E161" s="31"/>
    </row>
    <row r="162" spans="1:5" x14ac:dyDescent="0.15">
      <c r="A162" s="7"/>
      <c r="B162" s="7"/>
      <c r="C162" s="7"/>
      <c r="D162" s="31"/>
      <c r="E162" s="31"/>
    </row>
    <row r="163" spans="1:5" x14ac:dyDescent="0.15">
      <c r="A163" s="7"/>
      <c r="B163" s="7"/>
      <c r="C163" s="7"/>
      <c r="D163" s="31"/>
      <c r="E163" s="31"/>
    </row>
    <row r="164" spans="1:5" x14ac:dyDescent="0.15">
      <c r="A164" s="7"/>
      <c r="B164" s="7"/>
      <c r="C164" s="7"/>
      <c r="D164" s="31"/>
      <c r="E164" s="31"/>
    </row>
    <row r="165" spans="1:5" x14ac:dyDescent="0.15">
      <c r="A165" s="7"/>
      <c r="B165" s="7"/>
      <c r="C165" s="7"/>
      <c r="D165" s="31"/>
      <c r="E165" s="31"/>
    </row>
    <row r="166" spans="1:5" x14ac:dyDescent="0.15">
      <c r="A166" s="7"/>
      <c r="B166" s="7"/>
      <c r="C166" s="7"/>
      <c r="D166" s="31"/>
      <c r="E166" s="31"/>
    </row>
    <row r="167" spans="1:5" x14ac:dyDescent="0.15">
      <c r="A167" s="7"/>
      <c r="B167" s="7"/>
      <c r="C167" s="7"/>
      <c r="D167" s="31"/>
      <c r="E167" s="31"/>
    </row>
    <row r="168" spans="1:5" x14ac:dyDescent="0.15">
      <c r="A168" s="7"/>
      <c r="B168" s="7"/>
      <c r="C168" s="7"/>
      <c r="D168" s="31"/>
      <c r="E168" s="31"/>
    </row>
    <row r="169" spans="1:5" x14ac:dyDescent="0.15">
      <c r="A169" s="7"/>
      <c r="B169" s="7"/>
      <c r="C169" s="7"/>
      <c r="D169" s="31"/>
      <c r="E169" s="31"/>
    </row>
    <row r="170" spans="1:5" x14ac:dyDescent="0.15">
      <c r="A170" s="7"/>
      <c r="B170" s="7"/>
      <c r="C170" s="7"/>
      <c r="D170" s="31"/>
      <c r="E170" s="31"/>
    </row>
    <row r="171" spans="1:5" x14ac:dyDescent="0.15">
      <c r="A171" s="7"/>
      <c r="B171" s="7"/>
      <c r="C171" s="7"/>
      <c r="D171" s="31"/>
      <c r="E171" s="31"/>
    </row>
    <row r="172" spans="1:5" x14ac:dyDescent="0.15">
      <c r="A172" s="7"/>
      <c r="B172" s="7"/>
      <c r="C172" s="7"/>
      <c r="D172" s="31"/>
      <c r="E172" s="31"/>
    </row>
    <row r="173" spans="1:5" x14ac:dyDescent="0.15">
      <c r="A173" s="7"/>
      <c r="B173" s="7"/>
      <c r="C173" s="7"/>
      <c r="D173" s="31"/>
      <c r="E173" s="31"/>
    </row>
    <row r="174" spans="1:5" x14ac:dyDescent="0.15">
      <c r="A174" s="7"/>
      <c r="B174" s="7"/>
      <c r="C174" s="7"/>
      <c r="D174" s="31"/>
      <c r="E174" s="31"/>
    </row>
    <row r="175" spans="1:5" x14ac:dyDescent="0.15">
      <c r="A175" s="7"/>
      <c r="B175" s="7"/>
      <c r="C175" s="7"/>
      <c r="D175" s="31"/>
      <c r="E175" s="31"/>
    </row>
    <row r="176" spans="1:5" x14ac:dyDescent="0.15">
      <c r="A176" s="7"/>
      <c r="B176" s="7"/>
      <c r="C176" s="7"/>
      <c r="D176" s="31"/>
      <c r="E176" s="31"/>
    </row>
    <row r="177" spans="1:5" x14ac:dyDescent="0.15">
      <c r="A177" s="7"/>
      <c r="B177" s="7"/>
      <c r="C177" s="7"/>
      <c r="D177" s="31"/>
      <c r="E177" s="31"/>
    </row>
    <row r="178" spans="1:5" x14ac:dyDescent="0.15">
      <c r="A178" s="7"/>
      <c r="B178" s="7"/>
      <c r="C178" s="7"/>
      <c r="D178" s="31"/>
      <c r="E178" s="31"/>
    </row>
    <row r="179" spans="1:5" x14ac:dyDescent="0.15">
      <c r="A179" s="7"/>
      <c r="B179" s="7"/>
      <c r="C179" s="7"/>
      <c r="D179" s="31"/>
      <c r="E179" s="31"/>
    </row>
    <row r="180" spans="1:5" x14ac:dyDescent="0.15">
      <c r="A180" s="7"/>
      <c r="B180" s="7"/>
      <c r="C180" s="7"/>
      <c r="D180" s="31"/>
      <c r="E180" s="31"/>
    </row>
    <row r="181" spans="1:5" x14ac:dyDescent="0.15">
      <c r="A181" s="7"/>
      <c r="B181" s="7"/>
      <c r="C181" s="7"/>
      <c r="D181" s="31"/>
      <c r="E181" s="31"/>
    </row>
    <row r="182" spans="1:5" x14ac:dyDescent="0.15">
      <c r="A182" s="7"/>
      <c r="B182" s="7"/>
      <c r="C182" s="7"/>
      <c r="D182" s="31"/>
      <c r="E182" s="31"/>
    </row>
    <row r="183" spans="1:5" x14ac:dyDescent="0.15">
      <c r="A183" s="7"/>
      <c r="B183" s="7"/>
      <c r="C183" s="7"/>
      <c r="D183" s="31"/>
      <c r="E183" s="31"/>
    </row>
    <row r="184" spans="1:5" x14ac:dyDescent="0.15">
      <c r="A184" s="7"/>
      <c r="B184" s="7"/>
      <c r="C184" s="7"/>
      <c r="D184" s="31"/>
      <c r="E184" s="31"/>
    </row>
    <row r="185" spans="1:5" x14ac:dyDescent="0.15">
      <c r="A185" s="7"/>
      <c r="B185" s="7"/>
      <c r="C185" s="7"/>
      <c r="D185" s="31"/>
      <c r="E185" s="31"/>
    </row>
    <row r="186" spans="1:5" x14ac:dyDescent="0.15">
      <c r="A186" s="7"/>
      <c r="B186" s="7"/>
      <c r="C186" s="7"/>
      <c r="D186" s="31"/>
      <c r="E186" s="31"/>
    </row>
    <row r="187" spans="1:5" x14ac:dyDescent="0.15">
      <c r="A187" s="7"/>
      <c r="B187" s="7"/>
      <c r="C187" s="7"/>
      <c r="D187" s="31"/>
      <c r="E187" s="31"/>
    </row>
    <row r="188" spans="1:5" x14ac:dyDescent="0.15">
      <c r="A188" s="7"/>
      <c r="B188" s="7"/>
      <c r="C188" s="7"/>
      <c r="D188" s="31"/>
      <c r="E188" s="31"/>
    </row>
    <row r="189" spans="1:5" x14ac:dyDescent="0.15">
      <c r="A189" s="7"/>
      <c r="B189" s="7"/>
      <c r="C189" s="7"/>
      <c r="D189" s="31"/>
      <c r="E189" s="31"/>
    </row>
    <row r="190" spans="1:5" x14ac:dyDescent="0.15">
      <c r="A190" s="7"/>
      <c r="B190" s="7"/>
      <c r="C190" s="7"/>
      <c r="D190" s="31"/>
      <c r="E190" s="31"/>
    </row>
    <row r="191" spans="1:5" x14ac:dyDescent="0.15">
      <c r="A191" s="7"/>
      <c r="B191" s="7"/>
      <c r="C191" s="7"/>
      <c r="D191" s="31"/>
      <c r="E191" s="31"/>
    </row>
    <row r="192" spans="1:5" x14ac:dyDescent="0.15">
      <c r="A192" s="7"/>
      <c r="B192" s="7"/>
      <c r="C192" s="7"/>
      <c r="D192" s="31"/>
      <c r="E192" s="31"/>
    </row>
    <row r="193" spans="1:5" x14ac:dyDescent="0.15">
      <c r="A193" s="7"/>
      <c r="B193" s="7"/>
      <c r="C193" s="7"/>
      <c r="D193" s="31"/>
      <c r="E193" s="31"/>
    </row>
    <row r="194" spans="1:5" x14ac:dyDescent="0.15">
      <c r="A194" s="7"/>
      <c r="B194" s="7"/>
      <c r="C194" s="7"/>
      <c r="D194" s="31"/>
      <c r="E194" s="31"/>
    </row>
    <row r="195" spans="1:5" x14ac:dyDescent="0.15">
      <c r="A195" s="7"/>
      <c r="B195" s="7"/>
      <c r="C195" s="7"/>
      <c r="D195" s="31"/>
      <c r="E195" s="31"/>
    </row>
    <row r="196" spans="1:5" x14ac:dyDescent="0.15">
      <c r="A196" s="7"/>
      <c r="B196" s="7"/>
      <c r="C196" s="7"/>
      <c r="D196" s="31"/>
      <c r="E196" s="31"/>
    </row>
    <row r="197" spans="1:5" x14ac:dyDescent="0.15">
      <c r="A197" s="7"/>
      <c r="B197" s="7"/>
      <c r="C197" s="7"/>
      <c r="D197" s="31"/>
      <c r="E197" s="31"/>
    </row>
    <row r="198" spans="1:5" x14ac:dyDescent="0.15">
      <c r="A198" s="7"/>
      <c r="B198" s="7"/>
      <c r="C198" s="7"/>
      <c r="D198" s="31"/>
      <c r="E198" s="31"/>
    </row>
    <row r="199" spans="1:5" x14ac:dyDescent="0.15">
      <c r="A199" s="7"/>
      <c r="B199" s="7"/>
      <c r="C199" s="7"/>
      <c r="D199" s="31"/>
      <c r="E199" s="31"/>
    </row>
    <row r="200" spans="1:5" x14ac:dyDescent="0.15">
      <c r="A200" s="7"/>
      <c r="B200" s="7"/>
      <c r="C200" s="7"/>
      <c r="D200" s="31"/>
      <c r="E200" s="31"/>
    </row>
    <row r="201" spans="1:5" x14ac:dyDescent="0.15">
      <c r="A201" s="7"/>
      <c r="B201" s="7"/>
      <c r="C201" s="7"/>
      <c r="D201" s="31"/>
      <c r="E201" s="31"/>
    </row>
    <row r="202" spans="1:5" x14ac:dyDescent="0.15">
      <c r="A202" s="7"/>
      <c r="B202" s="7"/>
      <c r="C202" s="7"/>
      <c r="D202" s="31"/>
      <c r="E202" s="31"/>
    </row>
    <row r="203" spans="1:5" x14ac:dyDescent="0.15">
      <c r="A203" s="7"/>
      <c r="B203" s="7"/>
      <c r="C203" s="7"/>
      <c r="D203" s="31"/>
      <c r="E203" s="31"/>
    </row>
    <row r="204" spans="1:5" x14ac:dyDescent="0.15">
      <c r="A204" s="7"/>
      <c r="B204" s="7"/>
      <c r="C204" s="7"/>
      <c r="D204" s="31"/>
      <c r="E204" s="31"/>
    </row>
    <row r="205" spans="1:5" x14ac:dyDescent="0.15">
      <c r="A205" s="7"/>
      <c r="B205" s="7"/>
      <c r="C205" s="7"/>
      <c r="D205" s="31"/>
      <c r="E205" s="31"/>
    </row>
    <row r="206" spans="1:5" x14ac:dyDescent="0.15">
      <c r="A206" s="7"/>
      <c r="B206" s="7"/>
      <c r="C206" s="7"/>
      <c r="D206" s="31"/>
      <c r="E206" s="31"/>
    </row>
    <row r="207" spans="1:5" x14ac:dyDescent="0.15">
      <c r="A207" s="7"/>
      <c r="B207" s="7"/>
      <c r="C207" s="7"/>
      <c r="D207" s="31"/>
      <c r="E207" s="31"/>
    </row>
    <row r="208" spans="1:5" x14ac:dyDescent="0.15">
      <c r="A208" s="7"/>
      <c r="B208" s="7"/>
      <c r="C208" s="7"/>
      <c r="D208" s="31"/>
      <c r="E208" s="31"/>
    </row>
    <row r="209" spans="1:5" x14ac:dyDescent="0.15">
      <c r="A209" s="7"/>
      <c r="B209" s="7"/>
      <c r="C209" s="7"/>
      <c r="D209" s="31"/>
      <c r="E209" s="31"/>
    </row>
    <row r="210" spans="1:5" x14ac:dyDescent="0.15">
      <c r="A210" s="7"/>
      <c r="B210" s="7"/>
      <c r="C210" s="7"/>
      <c r="D210" s="31"/>
      <c r="E210" s="31"/>
    </row>
    <row r="211" spans="1:5" x14ac:dyDescent="0.15">
      <c r="A211" s="7"/>
      <c r="B211" s="7"/>
      <c r="C211" s="7"/>
      <c r="D211" s="31"/>
      <c r="E211" s="31"/>
    </row>
    <row r="212" spans="1:5" x14ac:dyDescent="0.15">
      <c r="A212" s="7"/>
      <c r="B212" s="7"/>
      <c r="C212" s="7"/>
      <c r="D212" s="31"/>
      <c r="E212" s="31"/>
    </row>
    <row r="213" spans="1:5" x14ac:dyDescent="0.15">
      <c r="A213" s="7"/>
      <c r="B213" s="7"/>
      <c r="C213" s="7"/>
      <c r="D213" s="31"/>
      <c r="E213" s="31"/>
    </row>
    <row r="214" spans="1:5" x14ac:dyDescent="0.15">
      <c r="A214" s="7"/>
      <c r="B214" s="7"/>
      <c r="C214" s="7"/>
      <c r="D214" s="31"/>
      <c r="E214" s="31"/>
    </row>
    <row r="215" spans="1:5" x14ac:dyDescent="0.15">
      <c r="A215" s="7"/>
      <c r="B215" s="7"/>
      <c r="C215" s="7"/>
      <c r="D215" s="31"/>
      <c r="E215" s="31"/>
    </row>
    <row r="216" spans="1:5" x14ac:dyDescent="0.15">
      <c r="A216" s="7"/>
      <c r="B216" s="7"/>
      <c r="C216" s="7"/>
      <c r="D216" s="31"/>
      <c r="E216" s="31"/>
    </row>
    <row r="217" spans="1:5" x14ac:dyDescent="0.15">
      <c r="A217" s="7"/>
      <c r="B217" s="7"/>
      <c r="C217" s="7"/>
      <c r="D217" s="31"/>
      <c r="E217" s="31"/>
    </row>
    <row r="218" spans="1:5" x14ac:dyDescent="0.15">
      <c r="A218" s="7"/>
      <c r="B218" s="7"/>
      <c r="C218" s="7"/>
      <c r="D218" s="31"/>
      <c r="E218" s="31"/>
    </row>
    <row r="219" spans="1:5" x14ac:dyDescent="0.15">
      <c r="A219" s="7"/>
      <c r="B219" s="7"/>
      <c r="C219" s="7"/>
      <c r="D219" s="31"/>
      <c r="E219" s="31"/>
    </row>
    <row r="220" spans="1:5" x14ac:dyDescent="0.15">
      <c r="A220" s="7"/>
      <c r="B220" s="7"/>
      <c r="C220" s="7"/>
      <c r="D220" s="31"/>
      <c r="E220" s="31"/>
    </row>
    <row r="221" spans="1:5" x14ac:dyDescent="0.15">
      <c r="A221" s="7"/>
      <c r="B221" s="7"/>
      <c r="C221" s="7"/>
      <c r="D221" s="31"/>
      <c r="E221" s="31"/>
    </row>
    <row r="222" spans="1:5" x14ac:dyDescent="0.15">
      <c r="A222" s="7"/>
      <c r="B222" s="7"/>
      <c r="C222" s="7"/>
      <c r="D222" s="31"/>
      <c r="E222" s="31"/>
    </row>
    <row r="223" spans="1:5" x14ac:dyDescent="0.15">
      <c r="A223" s="7"/>
      <c r="B223" s="7"/>
      <c r="C223" s="7"/>
      <c r="D223" s="31"/>
      <c r="E223" s="31"/>
    </row>
    <row r="224" spans="1:5" x14ac:dyDescent="0.15">
      <c r="A224" s="7"/>
      <c r="B224" s="7"/>
      <c r="C224" s="7"/>
      <c r="D224" s="31"/>
      <c r="E224" s="31"/>
    </row>
    <row r="225" spans="1:5" x14ac:dyDescent="0.15">
      <c r="A225" s="7"/>
      <c r="B225" s="7"/>
      <c r="C225" s="7"/>
      <c r="D225" s="31"/>
      <c r="E225" s="31"/>
    </row>
    <row r="226" spans="1:5" x14ac:dyDescent="0.15">
      <c r="A226" s="7"/>
      <c r="B226" s="7"/>
      <c r="C226" s="7"/>
      <c r="D226" s="31"/>
      <c r="E226" s="31"/>
    </row>
    <row r="227" spans="1:5" x14ac:dyDescent="0.15">
      <c r="A227" s="7"/>
      <c r="B227" s="7"/>
      <c r="C227" s="7"/>
      <c r="D227" s="31"/>
      <c r="E227" s="31"/>
    </row>
    <row r="228" spans="1:5" x14ac:dyDescent="0.15">
      <c r="A228" s="7"/>
      <c r="B228" s="7"/>
      <c r="C228" s="7"/>
      <c r="D228" s="31"/>
      <c r="E228" s="31"/>
    </row>
    <row r="229" spans="1:5" x14ac:dyDescent="0.15">
      <c r="A229" s="7"/>
      <c r="B229" s="7"/>
      <c r="C229" s="7"/>
      <c r="D229" s="31"/>
      <c r="E229" s="31"/>
    </row>
    <row r="230" spans="1:5" x14ac:dyDescent="0.15">
      <c r="A230" s="7"/>
      <c r="B230" s="7"/>
      <c r="C230" s="7"/>
      <c r="D230" s="31"/>
      <c r="E230" s="31"/>
    </row>
    <row r="231" spans="1:5" x14ac:dyDescent="0.15">
      <c r="A231" s="7"/>
      <c r="B231" s="7"/>
      <c r="C231" s="7"/>
      <c r="D231" s="31"/>
      <c r="E231" s="31"/>
    </row>
    <row r="232" spans="1:5" x14ac:dyDescent="0.15">
      <c r="A232" s="7"/>
      <c r="B232" s="7"/>
      <c r="C232" s="7"/>
      <c r="D232" s="31"/>
      <c r="E232" s="31"/>
    </row>
    <row r="233" spans="1:5" x14ac:dyDescent="0.15">
      <c r="A233" s="7"/>
      <c r="B233" s="7"/>
      <c r="C233" s="7"/>
      <c r="D233" s="31"/>
      <c r="E233" s="31"/>
    </row>
    <row r="234" spans="1:5" x14ac:dyDescent="0.15">
      <c r="A234" s="7"/>
      <c r="B234" s="7"/>
      <c r="C234" s="7"/>
      <c r="D234" s="31"/>
      <c r="E234" s="31"/>
    </row>
    <row r="235" spans="1:5" x14ac:dyDescent="0.15">
      <c r="A235" s="7"/>
      <c r="B235" s="7"/>
      <c r="C235" s="7"/>
      <c r="D235" s="31"/>
      <c r="E235" s="31"/>
    </row>
    <row r="236" spans="1:5" x14ac:dyDescent="0.15">
      <c r="A236" s="7"/>
      <c r="B236" s="7"/>
      <c r="C236" s="7"/>
      <c r="D236" s="31"/>
      <c r="E236" s="31"/>
    </row>
    <row r="237" spans="1:5" x14ac:dyDescent="0.15">
      <c r="A237" s="7"/>
      <c r="B237" s="7"/>
      <c r="C237" s="7"/>
      <c r="D237" s="31"/>
      <c r="E237" s="31"/>
    </row>
    <row r="238" spans="1:5" x14ac:dyDescent="0.15">
      <c r="A238" s="7"/>
      <c r="B238" s="7"/>
      <c r="C238" s="7"/>
      <c r="D238" s="31"/>
      <c r="E238" s="31"/>
    </row>
    <row r="239" spans="1:5" x14ac:dyDescent="0.15">
      <c r="A239" s="7"/>
      <c r="B239" s="7"/>
      <c r="C239" s="7"/>
      <c r="D239" s="31"/>
      <c r="E239" s="31"/>
    </row>
    <row r="240" spans="1:5" x14ac:dyDescent="0.15">
      <c r="A240" s="7"/>
      <c r="B240" s="7"/>
      <c r="C240" s="7"/>
      <c r="D240" s="31"/>
      <c r="E240" s="31"/>
    </row>
    <row r="241" spans="1:5" x14ac:dyDescent="0.15">
      <c r="A241" s="7"/>
      <c r="B241" s="7"/>
      <c r="C241" s="7"/>
      <c r="D241" s="31"/>
      <c r="E241" s="31"/>
    </row>
    <row r="242" spans="1:5" x14ac:dyDescent="0.15">
      <c r="A242" s="7"/>
      <c r="B242" s="7"/>
      <c r="C242" s="7"/>
      <c r="D242" s="31"/>
      <c r="E242" s="31"/>
    </row>
    <row r="243" spans="1:5" x14ac:dyDescent="0.15">
      <c r="A243" s="7"/>
      <c r="B243" s="7"/>
      <c r="C243" s="7"/>
      <c r="D243" s="31"/>
      <c r="E243" s="31"/>
    </row>
    <row r="244" spans="1:5" x14ac:dyDescent="0.15">
      <c r="A244" s="7"/>
      <c r="B244" s="7"/>
      <c r="C244" s="7"/>
      <c r="D244" s="31"/>
      <c r="E244" s="31"/>
    </row>
    <row r="245" spans="1:5" x14ac:dyDescent="0.15">
      <c r="A245" s="7"/>
      <c r="B245" s="7"/>
      <c r="C245" s="7"/>
      <c r="D245" s="31"/>
      <c r="E245" s="31"/>
    </row>
    <row r="246" spans="1:5" x14ac:dyDescent="0.15">
      <c r="A246" s="7"/>
      <c r="B246" s="7"/>
      <c r="C246" s="7"/>
      <c r="D246" s="31"/>
      <c r="E246" s="31"/>
    </row>
    <row r="247" spans="1:5" x14ac:dyDescent="0.15">
      <c r="A247" s="7"/>
      <c r="B247" s="7"/>
      <c r="C247" s="7"/>
      <c r="D247" s="31"/>
      <c r="E247" s="31"/>
    </row>
    <row r="248" spans="1:5" x14ac:dyDescent="0.15">
      <c r="A248" s="7"/>
      <c r="B248" s="7"/>
      <c r="C248" s="7"/>
      <c r="D248" s="31"/>
      <c r="E248" s="31"/>
    </row>
    <row r="249" spans="1:5" x14ac:dyDescent="0.15">
      <c r="A249" s="7"/>
      <c r="B249" s="7"/>
      <c r="C249" s="7"/>
      <c r="D249" s="31"/>
      <c r="E249" s="31"/>
    </row>
    <row r="250" spans="1:5" x14ac:dyDescent="0.15">
      <c r="A250" s="7"/>
      <c r="B250" s="7"/>
      <c r="C250" s="7"/>
      <c r="D250" s="31"/>
      <c r="E250" s="31"/>
    </row>
    <row r="251" spans="1:5" x14ac:dyDescent="0.15">
      <c r="A251" s="7"/>
      <c r="B251" s="7"/>
      <c r="C251" s="7"/>
      <c r="D251" s="31"/>
      <c r="E251" s="31"/>
    </row>
    <row r="252" spans="1:5" x14ac:dyDescent="0.15">
      <c r="A252" s="7"/>
      <c r="B252" s="7"/>
      <c r="C252" s="7"/>
      <c r="D252" s="31"/>
      <c r="E252" s="31"/>
    </row>
    <row r="253" spans="1:5" x14ac:dyDescent="0.15">
      <c r="A253" s="7"/>
      <c r="B253" s="7"/>
      <c r="C253" s="7"/>
      <c r="D253" s="31"/>
      <c r="E253" s="31"/>
    </row>
    <row r="254" spans="1:5" x14ac:dyDescent="0.15">
      <c r="A254" s="7"/>
      <c r="B254" s="7"/>
      <c r="C254" s="7"/>
      <c r="D254" s="31"/>
      <c r="E254" s="31"/>
    </row>
    <row r="255" spans="1:5" x14ac:dyDescent="0.15">
      <c r="A255" s="7"/>
      <c r="B255" s="7"/>
      <c r="C255" s="7"/>
      <c r="D255" s="31"/>
      <c r="E255" s="31"/>
    </row>
    <row r="256" spans="1:5" x14ac:dyDescent="0.15">
      <c r="A256" s="7"/>
      <c r="B256" s="7"/>
      <c r="C256" s="7"/>
      <c r="D256" s="31"/>
      <c r="E256" s="31"/>
    </row>
    <row r="257" spans="1:5" x14ac:dyDescent="0.15">
      <c r="A257" s="7"/>
      <c r="B257" s="7"/>
      <c r="C257" s="7"/>
      <c r="D257" s="31"/>
      <c r="E257" s="31"/>
    </row>
    <row r="258" spans="1:5" x14ac:dyDescent="0.15">
      <c r="A258" s="7"/>
      <c r="B258" s="7"/>
      <c r="C258" s="7"/>
      <c r="D258" s="31"/>
      <c r="E258" s="31"/>
    </row>
    <row r="259" spans="1:5" x14ac:dyDescent="0.15">
      <c r="A259" s="7"/>
      <c r="B259" s="7"/>
      <c r="C259" s="7"/>
      <c r="D259" s="31"/>
      <c r="E259" s="31"/>
    </row>
    <row r="260" spans="1:5" x14ac:dyDescent="0.15">
      <c r="A260" s="7"/>
      <c r="B260" s="7"/>
      <c r="C260" s="7"/>
      <c r="D260" s="31"/>
      <c r="E260" s="31"/>
    </row>
    <row r="261" spans="1:5" x14ac:dyDescent="0.15">
      <c r="A261" s="7"/>
      <c r="B261" s="7"/>
      <c r="C261" s="7"/>
      <c r="D261" s="31"/>
      <c r="E261" s="31"/>
    </row>
    <row r="262" spans="1:5" x14ac:dyDescent="0.15">
      <c r="A262" s="7"/>
      <c r="B262" s="7"/>
      <c r="C262" s="7"/>
      <c r="D262" s="31"/>
      <c r="E262" s="31"/>
    </row>
    <row r="263" spans="1:5" x14ac:dyDescent="0.15">
      <c r="A263" s="7"/>
      <c r="B263" s="7"/>
      <c r="C263" s="7"/>
      <c r="D263" s="31"/>
      <c r="E263" s="31"/>
    </row>
    <row r="264" spans="1:5" x14ac:dyDescent="0.15">
      <c r="A264" s="7"/>
      <c r="B264" s="7"/>
      <c r="C264" s="7"/>
      <c r="D264" s="31"/>
      <c r="E264" s="31"/>
    </row>
    <row r="265" spans="1:5" x14ac:dyDescent="0.15">
      <c r="A265" s="7"/>
      <c r="B265" s="7"/>
      <c r="C265" s="7"/>
      <c r="D265" s="31"/>
      <c r="E265" s="31"/>
    </row>
    <row r="266" spans="1:5" x14ac:dyDescent="0.15">
      <c r="A266" s="7"/>
      <c r="B266" s="7"/>
      <c r="C266" s="7"/>
      <c r="D266" s="31"/>
      <c r="E266" s="31"/>
    </row>
    <row r="267" spans="1:5" x14ac:dyDescent="0.15">
      <c r="A267" s="7"/>
      <c r="B267" s="7"/>
      <c r="C267" s="7"/>
      <c r="D267" s="31"/>
      <c r="E267" s="31"/>
    </row>
    <row r="268" spans="1:5" x14ac:dyDescent="0.15">
      <c r="A268" s="7"/>
      <c r="B268" s="7"/>
      <c r="C268" s="7"/>
      <c r="D268" s="31"/>
      <c r="E268" s="31"/>
    </row>
    <row r="269" spans="1:5" x14ac:dyDescent="0.15">
      <c r="A269" s="7"/>
      <c r="B269" s="7"/>
      <c r="C269" s="7"/>
      <c r="D269" s="31"/>
      <c r="E269" s="31"/>
    </row>
    <row r="270" spans="1:5" x14ac:dyDescent="0.15">
      <c r="A270" s="7"/>
      <c r="B270" s="7"/>
      <c r="C270" s="7"/>
      <c r="D270" s="31"/>
      <c r="E270" s="31"/>
    </row>
    <row r="271" spans="1:5" x14ac:dyDescent="0.15">
      <c r="A271" s="7"/>
      <c r="B271" s="7"/>
      <c r="C271" s="7"/>
      <c r="D271" s="31"/>
      <c r="E271" s="31"/>
    </row>
    <row r="272" spans="1:5" x14ac:dyDescent="0.15">
      <c r="A272" s="7"/>
      <c r="B272" s="7"/>
      <c r="C272" s="7"/>
      <c r="D272" s="31"/>
      <c r="E272" s="31"/>
    </row>
    <row r="273" spans="1:5" x14ac:dyDescent="0.15">
      <c r="A273" s="7"/>
      <c r="B273" s="7"/>
      <c r="C273" s="7"/>
      <c r="D273" s="31"/>
      <c r="E273" s="31"/>
    </row>
    <row r="274" spans="1:5" x14ac:dyDescent="0.15">
      <c r="A274" s="7"/>
      <c r="B274" s="7"/>
      <c r="C274" s="7"/>
      <c r="D274" s="31"/>
      <c r="E274" s="31"/>
    </row>
    <row r="275" spans="1:5" x14ac:dyDescent="0.15">
      <c r="A275" s="7"/>
      <c r="B275" s="7"/>
      <c r="C275" s="7"/>
      <c r="D275" s="31"/>
      <c r="E275" s="31"/>
    </row>
    <row r="276" spans="1:5" x14ac:dyDescent="0.15">
      <c r="A276" s="7"/>
      <c r="B276" s="7"/>
      <c r="C276" s="7"/>
      <c r="D276" s="31"/>
      <c r="E276" s="31"/>
    </row>
    <row r="277" spans="1:5" x14ac:dyDescent="0.15">
      <c r="A277" s="7"/>
      <c r="B277" s="7"/>
      <c r="C277" s="7"/>
      <c r="D277" s="31"/>
      <c r="E277" s="31"/>
    </row>
    <row r="278" spans="1:5" x14ac:dyDescent="0.15">
      <c r="A278" s="7"/>
      <c r="B278" s="7"/>
      <c r="C278" s="7"/>
      <c r="D278" s="31"/>
      <c r="E278" s="31"/>
    </row>
    <row r="279" spans="1:5" x14ac:dyDescent="0.15">
      <c r="A279" s="7"/>
      <c r="B279" s="7"/>
      <c r="C279" s="7"/>
      <c r="D279" s="31"/>
      <c r="E279" s="31"/>
    </row>
    <row r="280" spans="1:5" x14ac:dyDescent="0.15">
      <c r="A280" s="7"/>
      <c r="B280" s="7"/>
      <c r="C280" s="7"/>
      <c r="D280" s="31"/>
      <c r="E280" s="31"/>
    </row>
    <row r="281" spans="1:5" x14ac:dyDescent="0.15">
      <c r="A281" s="7"/>
      <c r="B281" s="7"/>
      <c r="C281" s="7"/>
      <c r="D281" s="31"/>
      <c r="E281" s="31"/>
    </row>
    <row r="282" spans="1:5" x14ac:dyDescent="0.15">
      <c r="A282" s="7"/>
      <c r="B282" s="7"/>
      <c r="C282" s="7"/>
      <c r="D282" s="31"/>
      <c r="E282" s="31"/>
    </row>
    <row r="283" spans="1:5" x14ac:dyDescent="0.15">
      <c r="A283" s="7"/>
      <c r="B283" s="7"/>
      <c r="C283" s="7"/>
      <c r="D283" s="31"/>
      <c r="E283" s="31"/>
    </row>
    <row r="284" spans="1:5" x14ac:dyDescent="0.15">
      <c r="A284" s="7"/>
      <c r="B284" s="7"/>
      <c r="C284" s="7"/>
      <c r="D284" s="31"/>
      <c r="E284" s="31"/>
    </row>
    <row r="285" spans="1:5" x14ac:dyDescent="0.15">
      <c r="A285" s="7"/>
      <c r="B285" s="7"/>
      <c r="C285" s="7"/>
      <c r="D285" s="31"/>
      <c r="E285" s="31"/>
    </row>
    <row r="286" spans="1:5" x14ac:dyDescent="0.15">
      <c r="A286" s="7"/>
      <c r="B286" s="7"/>
      <c r="C286" s="7"/>
      <c r="D286" s="31"/>
      <c r="E286" s="31"/>
    </row>
    <row r="287" spans="1:5" x14ac:dyDescent="0.15">
      <c r="A287" s="7"/>
      <c r="B287" s="7"/>
      <c r="C287" s="7"/>
      <c r="D287" s="31"/>
      <c r="E287" s="31"/>
    </row>
    <row r="288" spans="1:5" x14ac:dyDescent="0.15">
      <c r="A288" s="7"/>
      <c r="B288" s="7"/>
      <c r="C288" s="7"/>
      <c r="D288" s="31"/>
      <c r="E288" s="31"/>
    </row>
    <row r="289" spans="1:5" x14ac:dyDescent="0.15">
      <c r="A289" s="7"/>
      <c r="B289" s="7"/>
      <c r="C289" s="7"/>
      <c r="D289" s="31"/>
      <c r="E289" s="31"/>
    </row>
    <row r="290" spans="1:5" x14ac:dyDescent="0.15">
      <c r="A290" s="7"/>
      <c r="B290" s="7"/>
      <c r="C290" s="7"/>
      <c r="D290" s="31"/>
      <c r="E290" s="31"/>
    </row>
    <row r="291" spans="1:5" x14ac:dyDescent="0.15">
      <c r="A291" s="7"/>
      <c r="B291" s="7"/>
      <c r="C291" s="7"/>
      <c r="D291" s="31"/>
      <c r="E291" s="31"/>
    </row>
    <row r="292" spans="1:5" x14ac:dyDescent="0.15">
      <c r="A292" s="7"/>
      <c r="B292" s="7"/>
      <c r="C292" s="7"/>
      <c r="D292" s="31"/>
      <c r="E292" s="31"/>
    </row>
    <row r="293" spans="1:5" x14ac:dyDescent="0.15">
      <c r="A293" s="7"/>
      <c r="B293" s="7"/>
      <c r="C293" s="7"/>
      <c r="D293" s="31"/>
      <c r="E293" s="31"/>
    </row>
    <row r="294" spans="1:5" x14ac:dyDescent="0.15">
      <c r="A294" s="7"/>
      <c r="B294" s="7"/>
      <c r="C294" s="7"/>
      <c r="D294" s="31"/>
      <c r="E294" s="31"/>
    </row>
    <row r="295" spans="1:5" x14ac:dyDescent="0.15">
      <c r="A295" s="7"/>
      <c r="B295" s="7"/>
      <c r="C295" s="7"/>
      <c r="D295" s="31"/>
      <c r="E295" s="31"/>
    </row>
    <row r="296" spans="1:5" x14ac:dyDescent="0.15">
      <c r="A296" s="7"/>
      <c r="B296" s="7"/>
      <c r="C296" s="7"/>
      <c r="D296" s="31"/>
      <c r="E296" s="31"/>
    </row>
    <row r="297" spans="1:5" x14ac:dyDescent="0.15">
      <c r="A297" s="7"/>
      <c r="B297" s="7"/>
      <c r="C297" s="7"/>
      <c r="D297" s="31"/>
      <c r="E297" s="31"/>
    </row>
    <row r="298" spans="1:5" x14ac:dyDescent="0.15">
      <c r="A298" s="7"/>
      <c r="B298" s="7"/>
      <c r="C298" s="7"/>
      <c r="D298" s="31"/>
      <c r="E298" s="31"/>
    </row>
    <row r="299" spans="1:5" x14ac:dyDescent="0.15">
      <c r="A299" s="7"/>
      <c r="B299" s="7"/>
      <c r="C299" s="7"/>
      <c r="D299" s="31"/>
      <c r="E299" s="31"/>
    </row>
    <row r="300" spans="1:5" x14ac:dyDescent="0.15">
      <c r="A300" s="7"/>
      <c r="B300" s="7"/>
      <c r="C300" s="7"/>
      <c r="D300" s="31"/>
      <c r="E300" s="31"/>
    </row>
    <row r="301" spans="1:5" x14ac:dyDescent="0.15">
      <c r="A301" s="7"/>
      <c r="B301" s="7"/>
      <c r="C301" s="7"/>
      <c r="D301" s="31"/>
      <c r="E301" s="31"/>
    </row>
    <row r="302" spans="1:5" x14ac:dyDescent="0.15">
      <c r="A302" s="7"/>
      <c r="B302" s="7"/>
      <c r="C302" s="7"/>
      <c r="D302" s="31"/>
      <c r="E302" s="31"/>
    </row>
    <row r="303" spans="1:5" x14ac:dyDescent="0.15">
      <c r="A303" s="7"/>
      <c r="B303" s="7"/>
      <c r="C303" s="7"/>
      <c r="D303" s="31"/>
      <c r="E303" s="31"/>
    </row>
    <row r="304" spans="1:5" x14ac:dyDescent="0.15">
      <c r="A304" s="7"/>
      <c r="B304" s="7"/>
      <c r="C304" s="7"/>
      <c r="D304" s="31"/>
      <c r="E304" s="31"/>
    </row>
    <row r="305" spans="1:5" x14ac:dyDescent="0.15">
      <c r="A305" s="7"/>
      <c r="B305" s="7"/>
      <c r="C305" s="7"/>
      <c r="D305" s="31"/>
      <c r="E305" s="31"/>
    </row>
    <row r="306" spans="1:5" x14ac:dyDescent="0.15">
      <c r="A306" s="7"/>
      <c r="B306" s="7"/>
      <c r="C306" s="7"/>
      <c r="D306" s="31"/>
      <c r="E306" s="31"/>
    </row>
    <row r="307" spans="1:5" x14ac:dyDescent="0.15">
      <c r="A307" s="7"/>
      <c r="B307" s="7"/>
      <c r="C307" s="7"/>
      <c r="D307" s="31"/>
      <c r="E307" s="31"/>
    </row>
    <row r="308" spans="1:5" x14ac:dyDescent="0.15">
      <c r="A308" s="7"/>
      <c r="B308" s="7"/>
      <c r="C308" s="7"/>
      <c r="D308" s="31"/>
      <c r="E308" s="31"/>
    </row>
    <row r="309" spans="1:5" x14ac:dyDescent="0.15">
      <c r="A309" s="7"/>
      <c r="B309" s="7"/>
      <c r="C309" s="7"/>
      <c r="D309" s="31"/>
      <c r="E309" s="31"/>
    </row>
    <row r="310" spans="1:5" x14ac:dyDescent="0.15">
      <c r="A310" s="7"/>
      <c r="B310" s="7"/>
      <c r="C310" s="7"/>
      <c r="D310" s="31"/>
      <c r="E310" s="31"/>
    </row>
  </sheetData>
  <mergeCells count="2">
    <mergeCell ref="H22:J22"/>
    <mergeCell ref="F22:G22"/>
  </mergeCells>
  <phoneticPr fontId="1" type="noConversion"/>
  <pageMargins left="0.75" right="0.75" top="1" bottom="1" header="0.5" footer="0.5"/>
  <pageSetup paperSize="9" orientation="portrait" horizontalDpi="4294967293" verticalDpi="4294967293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8F1F-A671-7245-A50C-07D1069615A9}">
  <dimension ref="A1:CG310"/>
  <sheetViews>
    <sheetView tabSelected="1" topLeftCell="A8" workbookViewId="0">
      <selection activeCell="J17" sqref="J17"/>
    </sheetView>
  </sheetViews>
  <sheetFormatPr baseColWidth="10" defaultRowHeight="13" x14ac:dyDescent="0.15"/>
  <cols>
    <col min="1" max="1" width="10.83203125" customWidth="1"/>
    <col min="2" max="3" width="8.83203125" customWidth="1"/>
    <col min="4" max="4" width="10" customWidth="1"/>
    <col min="5" max="7" width="8.83203125" style="3" customWidth="1"/>
    <col min="8" max="8" width="12.83203125" style="3" customWidth="1"/>
    <col min="9" max="9" width="10.1640625" style="1" bestFit="1" customWidth="1"/>
    <col min="10" max="10" width="12.33203125" style="6" customWidth="1"/>
    <col min="11" max="11" width="11" customWidth="1"/>
    <col min="12" max="12" width="7.6640625" style="3" bestFit="1" customWidth="1"/>
    <col min="13" max="24" width="9.33203125" bestFit="1" customWidth="1"/>
    <col min="25" max="25" width="11.1640625" bestFit="1" customWidth="1"/>
    <col min="26" max="74" width="9.33203125" bestFit="1" customWidth="1"/>
    <col min="75" max="77" width="9.33203125" style="21" bestFit="1" customWidth="1"/>
    <col min="78" max="79" width="8.83203125" style="21"/>
    <col min="80" max="80" width="8.83203125"/>
  </cols>
  <sheetData>
    <row r="1" spans="1:12" ht="25" x14ac:dyDescent="0.25">
      <c r="A1" s="20"/>
      <c r="B1" s="4"/>
      <c r="C1" s="4"/>
      <c r="D1" s="4"/>
      <c r="E1" s="4"/>
      <c r="F1" s="4"/>
      <c r="G1" s="4"/>
      <c r="H1" s="4"/>
      <c r="I1" s="4"/>
      <c r="J1" s="5"/>
      <c r="K1" s="4"/>
    </row>
    <row r="2" spans="1:12" ht="25" x14ac:dyDescent="0.25">
      <c r="A2" s="4" t="s">
        <v>113</v>
      </c>
      <c r="B2" s="4"/>
      <c r="C2" s="4"/>
      <c r="D2" s="4"/>
      <c r="E2" s="4"/>
      <c r="F2" s="53"/>
      <c r="G2" s="4"/>
      <c r="H2" s="4"/>
      <c r="I2" s="4"/>
      <c r="J2" s="43"/>
      <c r="K2" s="4"/>
    </row>
    <row r="5" spans="1:12" x14ac:dyDescent="0.15">
      <c r="A5" s="91" t="s">
        <v>87</v>
      </c>
      <c r="B5" s="60"/>
      <c r="C5" s="61"/>
      <c r="D5" s="1"/>
      <c r="E5" s="6"/>
      <c r="F5"/>
      <c r="H5"/>
      <c r="I5"/>
      <c r="J5"/>
      <c r="L5"/>
    </row>
    <row r="6" spans="1:12" x14ac:dyDescent="0.15">
      <c r="A6" s="92"/>
      <c r="B6" s="93" t="s">
        <v>114</v>
      </c>
      <c r="C6" s="90"/>
      <c r="D6" s="1"/>
      <c r="E6" s="6"/>
      <c r="F6"/>
      <c r="H6"/>
      <c r="I6"/>
      <c r="J6"/>
      <c r="L6"/>
    </row>
    <row r="7" spans="1:12" ht="15" x14ac:dyDescent="0.15">
      <c r="A7" s="62" t="s">
        <v>58</v>
      </c>
      <c r="B7" s="94">
        <v>4.7</v>
      </c>
      <c r="C7" s="90" t="s">
        <v>93</v>
      </c>
      <c r="D7" s="1"/>
      <c r="E7" s="6"/>
      <c r="F7"/>
      <c r="H7"/>
      <c r="I7"/>
      <c r="J7"/>
      <c r="L7"/>
    </row>
    <row r="8" spans="1:12" x14ac:dyDescent="0.15">
      <c r="A8" s="62" t="s">
        <v>60</v>
      </c>
      <c r="B8" s="93">
        <v>238.05099999999999</v>
      </c>
      <c r="C8" s="90" t="s">
        <v>94</v>
      </c>
      <c r="D8" s="1"/>
      <c r="E8" s="6"/>
      <c r="F8"/>
      <c r="H8"/>
      <c r="I8"/>
      <c r="J8"/>
      <c r="L8"/>
    </row>
    <row r="9" spans="1:12" x14ac:dyDescent="0.15">
      <c r="A9" s="63" t="s">
        <v>59</v>
      </c>
      <c r="B9" s="93">
        <v>6.0220000000000003E+23</v>
      </c>
      <c r="C9" s="90"/>
      <c r="D9" s="1"/>
      <c r="E9" s="6"/>
      <c r="F9"/>
      <c r="H9"/>
      <c r="I9"/>
      <c r="J9"/>
      <c r="L9"/>
    </row>
    <row r="10" spans="1:12" ht="15" x14ac:dyDescent="0.15">
      <c r="A10" s="63" t="s">
        <v>57</v>
      </c>
      <c r="B10" s="93">
        <v>8.5000000000000001E-17</v>
      </c>
      <c r="C10" s="90" t="s">
        <v>95</v>
      </c>
      <c r="D10" s="1"/>
      <c r="E10" s="6"/>
      <c r="F10"/>
      <c r="H10"/>
      <c r="I10"/>
      <c r="J10"/>
      <c r="L10"/>
    </row>
    <row r="11" spans="1:12" ht="15" x14ac:dyDescent="0.15">
      <c r="A11" s="64" t="s">
        <v>50</v>
      </c>
      <c r="B11" s="95">
        <v>115</v>
      </c>
      <c r="C11" s="90" t="s">
        <v>96</v>
      </c>
      <c r="D11" s="1"/>
      <c r="E11" s="6"/>
      <c r="F11"/>
      <c r="H11"/>
      <c r="I11"/>
      <c r="J11"/>
      <c r="L11"/>
    </row>
    <row r="12" spans="1:12" x14ac:dyDescent="0.15">
      <c r="A12" s="64" t="s">
        <v>98</v>
      </c>
      <c r="B12" s="96">
        <v>450000</v>
      </c>
      <c r="C12" s="97" t="s">
        <v>43</v>
      </c>
      <c r="D12" s="1"/>
      <c r="E12" s="6"/>
      <c r="F12"/>
      <c r="G12"/>
      <c r="H12"/>
      <c r="I12"/>
      <c r="J12"/>
      <c r="L12"/>
    </row>
    <row r="13" spans="1:12" x14ac:dyDescent="0.15">
      <c r="A13" s="64" t="s">
        <v>61</v>
      </c>
      <c r="B13" s="95">
        <v>10.6</v>
      </c>
      <c r="C13" s="97" t="s">
        <v>101</v>
      </c>
      <c r="D13" s="1"/>
      <c r="E13" s="6"/>
      <c r="F13"/>
      <c r="G13"/>
      <c r="H13"/>
      <c r="I13"/>
      <c r="J13"/>
      <c r="L13"/>
    </row>
    <row r="14" spans="1:12" ht="15" x14ac:dyDescent="0.15">
      <c r="A14" s="64" t="s">
        <v>97</v>
      </c>
      <c r="B14" s="96">
        <v>137.81800000000001</v>
      </c>
      <c r="C14" s="97"/>
      <c r="D14" s="1"/>
      <c r="E14" s="6"/>
      <c r="F14"/>
      <c r="G14"/>
      <c r="H14"/>
      <c r="I14"/>
      <c r="J14"/>
      <c r="L14"/>
    </row>
    <row r="15" spans="1:12" x14ac:dyDescent="0.15">
      <c r="A15" s="64" t="s">
        <v>62</v>
      </c>
      <c r="B15" s="94">
        <v>1</v>
      </c>
      <c r="C15" s="97"/>
      <c r="D15" s="1"/>
      <c r="E15" s="6"/>
      <c r="F15"/>
      <c r="G15"/>
      <c r="H15"/>
      <c r="I15"/>
      <c r="J15"/>
      <c r="L15"/>
    </row>
    <row r="16" spans="1:12" x14ac:dyDescent="0.15">
      <c r="A16" s="64"/>
      <c r="B16" s="94"/>
      <c r="C16" s="97"/>
      <c r="D16" s="1"/>
      <c r="E16" s="6"/>
      <c r="F16"/>
      <c r="G16"/>
      <c r="H16"/>
      <c r="I16"/>
      <c r="J16"/>
      <c r="L16"/>
    </row>
    <row r="17" spans="1:85" x14ac:dyDescent="0.15">
      <c r="A17" s="64" t="s">
        <v>56</v>
      </c>
      <c r="B17" s="65">
        <f>B10*B11*B12*B7*B9/B8/1000000</f>
        <v>52299541.169749342</v>
      </c>
      <c r="C17" s="90"/>
      <c r="D17" s="1"/>
      <c r="E17" s="6"/>
      <c r="F17"/>
      <c r="H17"/>
      <c r="I17"/>
      <c r="J17"/>
      <c r="L17"/>
    </row>
    <row r="18" spans="1:85" x14ac:dyDescent="0.15">
      <c r="A18" s="66"/>
      <c r="B18" s="98"/>
      <c r="C18" s="99"/>
      <c r="D18" s="1"/>
      <c r="E18" s="6"/>
      <c r="F18"/>
      <c r="H18"/>
      <c r="I18"/>
      <c r="J18"/>
      <c r="L18"/>
    </row>
    <row r="20" spans="1:85" x14ac:dyDescent="0.15">
      <c r="A20" t="s">
        <v>46</v>
      </c>
    </row>
    <row r="21" spans="1:85" x14ac:dyDescent="0.15">
      <c r="F21" s="1"/>
      <c r="G21" s="6"/>
      <c r="I21"/>
      <c r="J21" s="8"/>
      <c r="L21" s="2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41"/>
      <c r="BT21" s="41"/>
      <c r="BU21" s="41"/>
      <c r="BV21" s="41"/>
      <c r="BW21" s="41"/>
      <c r="BX21" s="8"/>
      <c r="BY21" s="8"/>
      <c r="CD21" s="8"/>
      <c r="CE21" s="8"/>
      <c r="CF21" s="8"/>
      <c r="CG21" s="8"/>
    </row>
    <row r="22" spans="1:85" x14ac:dyDescent="0.15">
      <c r="D22" s="89"/>
      <c r="F22" s="109" t="s">
        <v>123</v>
      </c>
      <c r="G22" s="109"/>
      <c r="H22" s="108" t="s">
        <v>90</v>
      </c>
      <c r="I22" s="108"/>
      <c r="J22" s="108"/>
      <c r="K22" s="22" t="s">
        <v>91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41"/>
      <c r="BT22" s="41"/>
      <c r="BU22" s="41"/>
      <c r="BV22" s="41"/>
      <c r="BW22" s="41"/>
      <c r="BX22" s="8"/>
      <c r="BY22" s="8"/>
      <c r="CD22" s="8"/>
      <c r="CE22" s="8"/>
      <c r="CF22" s="8"/>
      <c r="CG22" s="8"/>
    </row>
    <row r="23" spans="1:85" ht="16" x14ac:dyDescent="0.2">
      <c r="A23" s="85" t="s">
        <v>88</v>
      </c>
      <c r="B23" s="84"/>
      <c r="C23" s="84"/>
      <c r="F23" s="1"/>
      <c r="G23" s="6"/>
      <c r="I23"/>
      <c r="J23" s="8"/>
      <c r="K23" s="28"/>
      <c r="L23" s="11" t="s">
        <v>45</v>
      </c>
      <c r="M23" s="11"/>
      <c r="N23" s="28"/>
      <c r="O23" s="11" t="s">
        <v>12</v>
      </c>
      <c r="P23" s="11"/>
      <c r="Q23" s="28"/>
      <c r="R23" s="11" t="s">
        <v>13</v>
      </c>
      <c r="S23" s="11"/>
      <c r="T23" s="28"/>
      <c r="U23" s="11" t="s">
        <v>14</v>
      </c>
      <c r="V23" s="11"/>
      <c r="W23" s="28"/>
      <c r="X23" s="11" t="s">
        <v>15</v>
      </c>
      <c r="Y23" s="11"/>
      <c r="Z23" s="28"/>
      <c r="AA23" s="11" t="s">
        <v>16</v>
      </c>
      <c r="AB23" s="11"/>
      <c r="AC23" s="28"/>
      <c r="AD23" s="11" t="s">
        <v>17</v>
      </c>
      <c r="AE23" s="11"/>
      <c r="AF23" s="28"/>
      <c r="AG23" s="11" t="s">
        <v>18</v>
      </c>
      <c r="AH23" s="11"/>
      <c r="AI23" s="28"/>
      <c r="AJ23" s="11" t="s">
        <v>19</v>
      </c>
      <c r="AK23" s="11"/>
      <c r="AL23" s="28"/>
      <c r="AM23" s="11" t="s">
        <v>20</v>
      </c>
      <c r="AN23" s="11"/>
      <c r="AO23" s="28"/>
      <c r="AP23" s="11" t="s">
        <v>21</v>
      </c>
      <c r="AQ23" s="11"/>
      <c r="AR23" s="28"/>
      <c r="AS23" s="11" t="s">
        <v>22</v>
      </c>
      <c r="AT23" s="11"/>
      <c r="AU23" s="28"/>
      <c r="AV23" s="11" t="s">
        <v>23</v>
      </c>
      <c r="AW23" s="11"/>
      <c r="AX23" s="28"/>
      <c r="AY23" s="11" t="s">
        <v>24</v>
      </c>
      <c r="AZ23" s="11"/>
      <c r="BA23" s="28"/>
      <c r="BB23" s="11" t="s">
        <v>25</v>
      </c>
      <c r="BC23" s="11"/>
      <c r="BD23" s="28"/>
      <c r="BE23" s="11" t="s">
        <v>26</v>
      </c>
      <c r="BF23" s="11"/>
      <c r="BG23" s="28"/>
      <c r="BH23" s="11" t="s">
        <v>27</v>
      </c>
      <c r="BI23" s="11"/>
      <c r="BJ23" s="28"/>
      <c r="BK23" s="11" t="s">
        <v>28</v>
      </c>
      <c r="BL23" s="11"/>
      <c r="BM23" s="28"/>
      <c r="BN23" s="11" t="s">
        <v>29</v>
      </c>
      <c r="BO23" s="11"/>
      <c r="BP23" s="28"/>
      <c r="BQ23" s="11" t="s">
        <v>30</v>
      </c>
      <c r="BR23" s="11"/>
      <c r="BS23" s="44"/>
      <c r="BT23" s="45" t="s">
        <v>31</v>
      </c>
      <c r="BU23" s="45"/>
      <c r="BV23" s="44"/>
      <c r="BW23" s="41"/>
      <c r="BX23" s="8"/>
      <c r="BY23" s="8"/>
      <c r="CD23" s="8"/>
      <c r="CE23" s="8"/>
      <c r="CF23" s="8"/>
      <c r="CG23" s="8"/>
    </row>
    <row r="24" spans="1:85" ht="15" x14ac:dyDescent="0.2">
      <c r="A24" s="83" t="s">
        <v>100</v>
      </c>
      <c r="B24" s="83" t="s">
        <v>53</v>
      </c>
      <c r="C24" s="83" t="s">
        <v>55</v>
      </c>
      <c r="D24" s="33" t="s">
        <v>54</v>
      </c>
      <c r="E24" s="34" t="s">
        <v>92</v>
      </c>
      <c r="F24" s="35" t="s">
        <v>0</v>
      </c>
      <c r="G24" s="36" t="s">
        <v>1</v>
      </c>
      <c r="H24" s="38" t="s">
        <v>7</v>
      </c>
      <c r="I24" s="37" t="s">
        <v>8</v>
      </c>
      <c r="J24" s="39" t="s">
        <v>9</v>
      </c>
      <c r="K24" s="26" t="s">
        <v>32</v>
      </c>
      <c r="L24" s="18" t="s">
        <v>33</v>
      </c>
      <c r="M24" s="18" t="s">
        <v>34</v>
      </c>
      <c r="N24" s="26" t="s">
        <v>35</v>
      </c>
      <c r="O24" s="18" t="s">
        <v>36</v>
      </c>
      <c r="P24" s="18" t="s">
        <v>37</v>
      </c>
      <c r="Q24" s="26" t="s">
        <v>35</v>
      </c>
      <c r="R24" s="18" t="s">
        <v>36</v>
      </c>
      <c r="S24" s="18" t="s">
        <v>37</v>
      </c>
      <c r="T24" s="26" t="s">
        <v>35</v>
      </c>
      <c r="U24" s="18" t="s">
        <v>36</v>
      </c>
      <c r="V24" s="18" t="s">
        <v>37</v>
      </c>
      <c r="W24" s="26" t="s">
        <v>35</v>
      </c>
      <c r="X24" s="18" t="s">
        <v>36</v>
      </c>
      <c r="Y24" s="18" t="s">
        <v>37</v>
      </c>
      <c r="Z24" s="26" t="s">
        <v>35</v>
      </c>
      <c r="AA24" s="18" t="s">
        <v>36</v>
      </c>
      <c r="AB24" s="18" t="s">
        <v>37</v>
      </c>
      <c r="AC24" s="26" t="s">
        <v>35</v>
      </c>
      <c r="AD24" s="18" t="s">
        <v>36</v>
      </c>
      <c r="AE24" s="18" t="s">
        <v>37</v>
      </c>
      <c r="AF24" s="26" t="s">
        <v>35</v>
      </c>
      <c r="AG24" s="18" t="s">
        <v>36</v>
      </c>
      <c r="AH24" s="18" t="s">
        <v>37</v>
      </c>
      <c r="AI24" s="26" t="s">
        <v>35</v>
      </c>
      <c r="AJ24" s="18" t="s">
        <v>36</v>
      </c>
      <c r="AK24" s="18" t="s">
        <v>37</v>
      </c>
      <c r="AL24" s="26" t="s">
        <v>35</v>
      </c>
      <c r="AM24" s="18" t="s">
        <v>36</v>
      </c>
      <c r="AN24" s="18" t="s">
        <v>37</v>
      </c>
      <c r="AO24" s="26" t="s">
        <v>35</v>
      </c>
      <c r="AP24" s="18" t="s">
        <v>36</v>
      </c>
      <c r="AQ24" s="18" t="s">
        <v>37</v>
      </c>
      <c r="AR24" s="26" t="s">
        <v>35</v>
      </c>
      <c r="AS24" s="18" t="s">
        <v>36</v>
      </c>
      <c r="AT24" s="18" t="s">
        <v>37</v>
      </c>
      <c r="AU24" s="26" t="s">
        <v>35</v>
      </c>
      <c r="AV24" s="18" t="s">
        <v>36</v>
      </c>
      <c r="AW24" s="18" t="s">
        <v>37</v>
      </c>
      <c r="AX24" s="26" t="s">
        <v>35</v>
      </c>
      <c r="AY24" s="18" t="s">
        <v>36</v>
      </c>
      <c r="AZ24" s="18" t="s">
        <v>37</v>
      </c>
      <c r="BA24" s="26" t="s">
        <v>35</v>
      </c>
      <c r="BB24" s="18" t="s">
        <v>36</v>
      </c>
      <c r="BC24" s="18" t="s">
        <v>37</v>
      </c>
      <c r="BD24" s="26" t="s">
        <v>35</v>
      </c>
      <c r="BE24" s="18" t="s">
        <v>36</v>
      </c>
      <c r="BF24" s="18" t="s">
        <v>37</v>
      </c>
      <c r="BG24" s="26" t="s">
        <v>35</v>
      </c>
      <c r="BH24" s="18" t="s">
        <v>36</v>
      </c>
      <c r="BI24" s="18" t="s">
        <v>37</v>
      </c>
      <c r="BJ24" s="26" t="s">
        <v>35</v>
      </c>
      <c r="BK24" s="18" t="s">
        <v>36</v>
      </c>
      <c r="BL24" s="18" t="s">
        <v>37</v>
      </c>
      <c r="BM24" s="26" t="s">
        <v>35</v>
      </c>
      <c r="BN24" s="18" t="s">
        <v>36</v>
      </c>
      <c r="BO24" s="18" t="s">
        <v>37</v>
      </c>
      <c r="BP24" s="26" t="s">
        <v>35</v>
      </c>
      <c r="BQ24" s="18" t="s">
        <v>36</v>
      </c>
      <c r="BR24" s="18" t="s">
        <v>37</v>
      </c>
      <c r="BS24" s="46" t="s">
        <v>35</v>
      </c>
      <c r="BT24" s="47" t="s">
        <v>36</v>
      </c>
      <c r="BU24" s="47" t="s">
        <v>37</v>
      </c>
      <c r="BV24" s="46"/>
      <c r="BW24" s="48"/>
      <c r="BX24" s="39"/>
      <c r="BY24" s="39"/>
      <c r="BZ24" s="40"/>
      <c r="CA24" s="40"/>
      <c r="CB24" s="40"/>
      <c r="CC24" s="40"/>
      <c r="CD24" s="39"/>
      <c r="CE24" s="39"/>
      <c r="CF24" s="39"/>
      <c r="CG24" s="39"/>
    </row>
    <row r="25" spans="1:85" x14ac:dyDescent="0.15">
      <c r="A25" s="111">
        <v>1600</v>
      </c>
      <c r="B25" s="112">
        <v>325.637</v>
      </c>
      <c r="C25" s="111">
        <v>167</v>
      </c>
      <c r="D25" s="114">
        <f>INT(ROUND($B$17*0.25*B25*(A25/100000000)*($B$13/10000)*($B$14)/($B$14+1)*$B$15,0))</f>
        <v>72</v>
      </c>
      <c r="E25" s="117">
        <f>C25/D25</f>
        <v>2.3194444444444446</v>
      </c>
      <c r="F25" s="110">
        <f>((1/0.000000000155125)*LN((0.000000000155125*E25*$B$12*$B$11*0.5)+1))/1000000</f>
        <v>59.737976478747122</v>
      </c>
      <c r="G25" s="110">
        <f>IF(C25=0,F25*SQRT((1/(0.5+C25))+(1/(0.5+D25))),F25*SQRT((1/C25)+(1/D25)))</f>
        <v>8.4221888283295367</v>
      </c>
      <c r="H25" s="24">
        <f t="shared" ref="H25:H45" si="0">($C$54*(C25+D25))/($C$54+$D$54)</f>
        <v>169.16644606221047</v>
      </c>
      <c r="I25" s="24">
        <f t="shared" ref="I25:I45" si="1">($D$54*(C25+D25))/($C$54+$D$54)</f>
        <v>69.833553937789546</v>
      </c>
      <c r="J25" s="24">
        <f t="shared" ref="J25:J45" si="2">(((C25-H25)^2)/H25)+(((D25-I25)^2)/I25)</f>
        <v>9.495444347799474E-2</v>
      </c>
      <c r="K25" s="29">
        <f t="shared" ref="K25:K45" si="3">C25+D25</f>
        <v>239</v>
      </c>
      <c r="L25" s="24">
        <f t="shared" ref="L25:L45" si="4">C25/K25</f>
        <v>0.69874476987447698</v>
      </c>
      <c r="M25" s="24">
        <f t="shared" ref="M25:M45" si="5">LOG((C25+0.5)/(D25+0.5))</f>
        <v>0.36367680480187031</v>
      </c>
      <c r="N25" s="25">
        <f t="shared" ref="N25:N45" si="6">K25/(($C$81*(1-$C$81))+((K25-1)*($C$81*$C$81)*((1-$C$81)*(1-$C$81))*($B$81*$B$81)))</f>
        <v>1029.9251160958108</v>
      </c>
      <c r="O25" s="24">
        <f t="shared" ref="O25:O45" si="7">(N25^2)*((L25-$C$81)^2)</f>
        <v>87.158803196787858</v>
      </c>
      <c r="P25" s="24">
        <f t="shared" ref="P25:P31" si="8">N25*L25</f>
        <v>719.65478823431135</v>
      </c>
      <c r="Q25" s="25">
        <f t="shared" ref="Q25:Q45" si="9">$K25/(($C$82*(1-$C$82))+(($K25-1)*($C$82*$C$82)*((1-$C$82)*(1-$C$82))*($B$82*$B$82)))</f>
        <v>1063.1082986938575</v>
      </c>
      <c r="R25" s="24">
        <f t="shared" ref="R25:R45" si="10">(Q25^2)*((L25-$C$82)^2)</f>
        <v>91.482164094960439</v>
      </c>
      <c r="S25" s="24">
        <f t="shared" ref="S25:S45" si="11">Q25*$L25</f>
        <v>742.84136352248618</v>
      </c>
      <c r="T25" s="25">
        <f t="shared" ref="T25:T45" si="12">$K25/(($C$83*(1-$C$83))+(($K25-1)*($C$83*$C$83)*((1-$C$83)*(1-$C$83))*($B$83*$B$83)))</f>
        <v>1087.2329788162081</v>
      </c>
      <c r="U25" s="24">
        <f t="shared" ref="U25:U45" si="13">(T25^2)*((L25-$C$83)^2)</f>
        <v>96.076108948160453</v>
      </c>
      <c r="V25" s="24">
        <f t="shared" ref="V25:V45" si="14">T25*$L25</f>
        <v>759.69835758287343</v>
      </c>
      <c r="W25" s="25">
        <f t="shared" ref="W25:W45" si="15">$K25/(($C$84*(1-$C$84))+(($K25-1)*($C$84*$C$84)*((1-$C$84)*(1-$C$84))*($B$84*$B$84)))</f>
        <v>1104.8399535208328</v>
      </c>
      <c r="X25" s="24">
        <f t="shared" ref="X25:X45" si="16">(W25^2)*((L25-$C$84)^2)</f>
        <v>99.502554688338009</v>
      </c>
      <c r="Y25" s="24">
        <f t="shared" ref="Y25:Y45" si="17">W25*$L25</f>
        <v>772.00113907104208</v>
      </c>
      <c r="Z25" s="25">
        <f t="shared" ref="Z25:Z45" si="18">$K25/(($C$85*(1-$C$85))+(($K25-1)*($C$85*$C$85)*((1-$C$85)*(1-$C$85))*($B$85*$B$85)))</f>
        <v>1117.7897266853834</v>
      </c>
      <c r="AA25" s="24">
        <f t="shared" ref="AA25:AA45" si="19">(Z25^2)*((L25-$C$85)^2)</f>
        <v>102.06217632351343</v>
      </c>
      <c r="AB25" s="24">
        <f t="shared" ref="AB25:AB45" si="20">Z25*$L25</f>
        <v>781.04972534083277</v>
      </c>
      <c r="AC25" s="25">
        <f t="shared" ref="AC25:AC45" si="21">$K25/(($C$86*(1-$C$86))+(($K25-1)*($C$86*$C$86)*((1-$C$86)*(1-$C$86))*($B$86*$B$86)))</f>
        <v>1127.3685852425601</v>
      </c>
      <c r="AD25" s="24">
        <f t="shared" ref="AD25:AD45" si="22">(AC25^2)*((L25-$C$86)^2)</f>
        <v>103.97703899399522</v>
      </c>
      <c r="AE25" s="24">
        <f t="shared" ref="AE25:AE45" si="23">AC25*$L25</f>
        <v>787.74290265902732</v>
      </c>
      <c r="AF25" s="25">
        <f t="shared" ref="AF25:AF45" si="24">$K25/(($C$87*(1-$C$87))+(($K25-1)*($C$87*$C$87)*((1-$C$87)*(1-$C$87))*($B$87*$B$87)))</f>
        <v>1134.4839811163442</v>
      </c>
      <c r="AG25" s="24">
        <f t="shared" ref="AG25:AG45" si="25">(AF25^2)*((L25-$C$87)^2)</f>
        <v>105.41128719665517</v>
      </c>
      <c r="AH25" s="24">
        <f t="shared" ref="AH25:AH45" si="26">AF25*$L25</f>
        <v>792.71474831142041</v>
      </c>
      <c r="AI25" s="25">
        <f t="shared" ref="AI25:AI45" si="27">$K25/(($C$88*(1-$C$88))+(($K25-1)*($C$88*$C$88)*((1-$C$88)*(1-$C$88))*($B$88*$B$88)))</f>
        <v>1139.7860874406967</v>
      </c>
      <c r="AJ25" s="24">
        <f t="shared" ref="AJ25:AJ45" si="28">(AI25^2)*((L25-$C$88)^2)</f>
        <v>106.48659360918681</v>
      </c>
      <c r="AK25" s="24">
        <f t="shared" ref="AK25:AK45" si="29">AI25*$L25</f>
        <v>796.4195673748801</v>
      </c>
      <c r="AL25" s="25">
        <f t="shared" ref="AL25:AL45" si="30">$K25/(($C$89*(1-$C$89))+(($K25-1)*($C$89*$C$89)*((1-$C$89)*(1-$C$89))*($B$89*$B$89)))</f>
        <v>1143.7462708497942</v>
      </c>
      <c r="AM25" s="24">
        <f t="shared" ref="AM25:AM45" si="31">(AL25^2)*((L25-$C$89)^2)</f>
        <v>107.29340319425583</v>
      </c>
      <c r="AN25" s="24">
        <f t="shared" ref="AN25:AN45" si="32">AL25*$L25</f>
        <v>799.18672481973067</v>
      </c>
      <c r="AO25" s="25">
        <f t="shared" ref="AO25:AO45" si="33">$K25/(($C$90*(1-$C$90))+(($K25-1)*($C$90*$C$90)*((1-$C$90)*(1-$C$90))*($B$90*$B$90)))</f>
        <v>1146.7093464652521</v>
      </c>
      <c r="AP25" s="24">
        <f t="shared" ref="AP25:AP45" si="34">(AO25^2)*((L25-$C$90)^2)</f>
        <v>107.89911539161332</v>
      </c>
      <c r="AQ25" s="24">
        <f t="shared" ref="AQ25:AQ45" si="35">AO25*$L25</f>
        <v>801.25715840877444</v>
      </c>
      <c r="AR25" s="25">
        <f t="shared" ref="AR25:AR45" si="36">$K25/(($C$91*(1-$C$91))+(($K25-1)*($C$91*$C$91)*((1-$C$91)*(1-$C$91))*($B$91*$B$91)))</f>
        <v>1148.9292779154619</v>
      </c>
      <c r="AS25" s="24">
        <f t="shared" ref="AS25:AS45" si="37">(AR25^2)*((L25-$C$91)^2)</f>
        <v>108.35406009821656</v>
      </c>
      <c r="AT25" s="24">
        <f t="shared" ref="AT25:AT45" si="38">AR25*$L25</f>
        <v>802.80832389908835</v>
      </c>
      <c r="AU25" s="25">
        <f t="shared" ref="AU25:AU45" si="39">$K25/(($C$92*(1-$C$92))+(($K25-1)*($C$92*$C$92)*((1-$C$92)*(1-$C$92))*($B$92*$B$92)))</f>
        <v>1150.5940821247636</v>
      </c>
      <c r="AV25" s="24">
        <f t="shared" ref="AV25:AV45" si="40">(AU25^2)*((L25-$C$92)^2)</f>
        <v>108.69588317752478</v>
      </c>
      <c r="AW25" s="24">
        <f t="shared" ref="AW25:AW45" si="41">AU25*$L25</f>
        <v>803.97159713320309</v>
      </c>
      <c r="AX25" s="25">
        <f t="shared" ref="AX25:AX45" si="42">$K25/(($C$93*(1-$C$93))+(($K25-1)*($C$93*$C$93)*((1-$C$93)*(1-$C$93))*($B$93*$B$93)))</f>
        <v>1151.8434977117224</v>
      </c>
      <c r="AY25" s="24">
        <f t="shared" ref="AY25:AY45" si="43">(AX25^2)*((L25-$C$93)^2)</f>
        <v>108.95277991235402</v>
      </c>
      <c r="AZ25" s="24">
        <f t="shared" ref="AZ25:AZ45" si="44">AX25*$L25</f>
        <v>804.84461973999009</v>
      </c>
      <c r="BA25" s="25">
        <f t="shared" ref="BA25:BA45" si="45">$K25/(($C$94*(1-$C$94))+(($K25-1)*($C$94*$C$94)*((1-$C$94)*(1-$C$94))*($B$94*$B$94)))</f>
        <v>1152.7816881496481</v>
      </c>
      <c r="BB25" s="24">
        <f t="shared" ref="BB25:BB45" si="46">(BA25^2)*((L25-$C$94)^2)</f>
        <v>109.14588893354761</v>
      </c>
      <c r="BC25" s="24">
        <f t="shared" ref="BC25:BC45" si="47">BA25*$L25</f>
        <v>805.50017540163697</v>
      </c>
      <c r="BD25" s="25">
        <f t="shared" ref="BD25:BD45" si="48">$K25/(($C$95*(1-$C$95))+(($K25-1)*($C$95*$C$95)*((1-$C$95)*(1-$C$95))*($B$95*$B$95)))</f>
        <v>1153.4864714101343</v>
      </c>
      <c r="BE25" s="24">
        <f t="shared" ref="BE25:BE45" si="49">(BD25^2)*((L25-$C$95)^2)</f>
        <v>109.29107074216311</v>
      </c>
      <c r="BF25" s="24">
        <f t="shared" ref="BF25:BF45" si="50">BD25*$L25</f>
        <v>805.99263901879681</v>
      </c>
      <c r="BG25" s="25">
        <f t="shared" ref="BG25:BG45" si="51">$K25/(($C$96*(1-$C$96))+(($K25-1)*($C$96*$C$96)*((1-$C$96)*(1-$C$96))*($B$96*$B$96)))</f>
        <v>1154.0160809114682</v>
      </c>
      <c r="BH25" s="24">
        <f t="shared" ref="BH25:BH45" si="52">(BG25^2)*((L25-$C$96)^2)</f>
        <v>109.40023273369117</v>
      </c>
      <c r="BI25" s="24">
        <f t="shared" ref="BI25:BI45" si="53">BG25*$L25</f>
        <v>806.36270088792969</v>
      </c>
      <c r="BJ25" s="25">
        <f t="shared" ref="BJ25:BJ45" si="54">$K25/(($C$97*(1-$C$97))+(($K25-1)*($C$97*$C$97)*((1-$C$97)*(1-$C$97))*($B$97*$B$97)))</f>
        <v>1154.4141494634703</v>
      </c>
      <c r="BK25" s="24">
        <f t="shared" ref="BK25:BK45" si="55">(BJ25^2)*((L25-$C$97)^2)</f>
        <v>109.48231855256874</v>
      </c>
      <c r="BL25" s="24">
        <f t="shared" ref="BL25:BL45" si="56">BJ25*$L25</f>
        <v>806.64084920669256</v>
      </c>
      <c r="BM25" s="25">
        <f t="shared" ref="BM25:BM45" si="57">$K25/(($C$98*(1-$C$98))+(($K25-1)*($C$98*$C$98)*((1-$C$98)*(1-$C$98))*($B$98*$B$98)))</f>
        <v>1154.7134011296141</v>
      </c>
      <c r="BN25" s="24">
        <f t="shared" ref="BN25:BN45" si="58">(BM25^2)*((L25-$C$98)^2)</f>
        <v>109.5440480935888</v>
      </c>
      <c r="BO25" s="24">
        <f t="shared" ref="BO25:BO45" si="59">BM25*$L25</f>
        <v>806.84994974328686</v>
      </c>
      <c r="BP25" s="25">
        <f t="shared" ref="BP25:BP45" si="60">$K25/(($C$99*(1-$C$99))+(($K25-1)*($C$99*$C$99)*((1-$C$99)*(1-$C$99))*($B$99*$B$99)))</f>
        <v>1154.9383961354918</v>
      </c>
      <c r="BQ25" s="24">
        <f t="shared" ref="BQ25:BQ45" si="61">(BP25^2)*((L25-$C$99)^2)</f>
        <v>109.59047173809806</v>
      </c>
      <c r="BR25" s="24">
        <f t="shared" ref="BR25:BR45" si="62">BP25*$L25</f>
        <v>807.00716382689177</v>
      </c>
      <c r="BS25" s="49">
        <f t="shared" ref="BS25:BS45" si="63">$K25/(($C$100*(1-$C$100))+(($K25-1)*($C$100*$C$100)*((1-$C$100)*(1-$C$100))*($B$100*$B$100)))</f>
        <v>1155.1073547786361</v>
      </c>
      <c r="BT25" s="50">
        <f t="shared" ref="BT25:BT45" si="64">(BS25^2)*((L25-$C$100)^2)</f>
        <v>109.62253857709435</v>
      </c>
      <c r="BU25" s="50">
        <f t="shared" ref="BU25:BU45" si="65">BS25*$L25</f>
        <v>807.12522279511393</v>
      </c>
      <c r="BV25" s="49"/>
      <c r="BW25" s="50">
        <f t="shared" ref="BW25:BW45" si="66">F25/G25</f>
        <v>7.0929277051836888</v>
      </c>
      <c r="BX25" s="24"/>
      <c r="BY25" s="8"/>
      <c r="CD25" s="8"/>
      <c r="CE25" s="8"/>
      <c r="CF25" s="8"/>
      <c r="CG25" s="8"/>
    </row>
    <row r="26" spans="1:85" x14ac:dyDescent="0.15">
      <c r="A26" s="111">
        <v>1600</v>
      </c>
      <c r="B26" s="112">
        <v>162</v>
      </c>
      <c r="C26" s="111">
        <v>82</v>
      </c>
      <c r="D26" s="114">
        <f t="shared" ref="D26:D45" si="67">INT(ROUND($B$17*0.25*B26*(A26/100000000)*($B$13/10000)*($B$14)/($B$14+1)*$B$15,0))</f>
        <v>36</v>
      </c>
      <c r="E26" s="117">
        <f t="shared" ref="E26:E45" si="68">C26/D26</f>
        <v>2.2777777777777777</v>
      </c>
      <c r="F26" s="110">
        <f t="shared" ref="F26:F45" si="69">((1/0.000000000155125)*LN((0.000000000155125*E26*$B$12*$B$11*0.5)+1))/1000000</f>
        <v>58.669707646882067</v>
      </c>
      <c r="G26" s="110">
        <f t="shared" ref="G26:G45" si="70">IF(C26=0,F26*SQRT((1/(0.5+C26))+(1/(0.5+D26))),F26*SQRT((1/C26)+(1/D26)))</f>
        <v>11.729965943448519</v>
      </c>
      <c r="H26" s="24">
        <f t="shared" si="0"/>
        <v>83.52150893448048</v>
      </c>
      <c r="I26" s="24">
        <f t="shared" si="1"/>
        <v>34.47849106551952</v>
      </c>
      <c r="J26" s="24">
        <f t="shared" si="2"/>
        <v>9.4860287903091353E-2</v>
      </c>
      <c r="K26" s="29">
        <f t="shared" si="3"/>
        <v>118</v>
      </c>
      <c r="L26" s="24">
        <f t="shared" si="4"/>
        <v>0.69491525423728817</v>
      </c>
      <c r="M26" s="24">
        <f t="shared" si="5"/>
        <v>0.35416108409345043</v>
      </c>
      <c r="N26" s="25">
        <f t="shared" si="6"/>
        <v>538.26376742072148</v>
      </c>
      <c r="O26" s="24">
        <f t="shared" si="7"/>
        <v>48.169849877144372</v>
      </c>
      <c r="P26" s="24">
        <f t="shared" si="8"/>
        <v>374.04770278389122</v>
      </c>
      <c r="Q26" s="25">
        <f t="shared" si="9"/>
        <v>547.11458186575726</v>
      </c>
      <c r="R26" s="24">
        <f t="shared" si="10"/>
        <v>49.24522544862851</v>
      </c>
      <c r="S26" s="24">
        <f t="shared" si="11"/>
        <v>380.19826875417033</v>
      </c>
      <c r="T26" s="25">
        <f t="shared" si="12"/>
        <v>553.41704574862763</v>
      </c>
      <c r="U26" s="24">
        <f t="shared" si="13"/>
        <v>50.532140554771985</v>
      </c>
      <c r="V26" s="24">
        <f t="shared" si="14"/>
        <v>384.57794704565652</v>
      </c>
      <c r="W26" s="25">
        <f t="shared" si="15"/>
        <v>557.9306128111923</v>
      </c>
      <c r="X26" s="24">
        <f t="shared" si="16"/>
        <v>51.464918575029721</v>
      </c>
      <c r="Y26" s="24">
        <f t="shared" si="17"/>
        <v>387.71449364845569</v>
      </c>
      <c r="Z26" s="25">
        <f t="shared" si="18"/>
        <v>561.20502074082628</v>
      </c>
      <c r="AA26" s="24">
        <f t="shared" si="19"/>
        <v>52.147374895365338</v>
      </c>
      <c r="AB26" s="24">
        <f t="shared" si="20"/>
        <v>389.98992966735386</v>
      </c>
      <c r="AC26" s="25">
        <f t="shared" si="21"/>
        <v>563.60282407095508</v>
      </c>
      <c r="AD26" s="24">
        <f t="shared" si="22"/>
        <v>52.650197158056066</v>
      </c>
      <c r="AE26" s="24">
        <f t="shared" si="23"/>
        <v>391.65619977812133</v>
      </c>
      <c r="AF26" s="25">
        <f t="shared" si="24"/>
        <v>565.37079209248157</v>
      </c>
      <c r="AG26" s="24">
        <f t="shared" si="25"/>
        <v>53.022601937286339</v>
      </c>
      <c r="AH26" s="24">
        <f t="shared" si="26"/>
        <v>392.88478772528384</v>
      </c>
      <c r="AI26" s="25">
        <f t="shared" si="27"/>
        <v>566.68097897979249</v>
      </c>
      <c r="AJ26" s="24">
        <f t="shared" si="28"/>
        <v>53.299487672320119</v>
      </c>
      <c r="AK26" s="24">
        <f t="shared" si="29"/>
        <v>393.79525657917787</v>
      </c>
      <c r="AL26" s="25">
        <f t="shared" si="30"/>
        <v>567.65556767108774</v>
      </c>
      <c r="AM26" s="24">
        <f t="shared" si="31"/>
        <v>53.505951383409119</v>
      </c>
      <c r="AN26" s="24">
        <f t="shared" si="32"/>
        <v>394.47251312736608</v>
      </c>
      <c r="AO26" s="25">
        <f t="shared" si="33"/>
        <v>568.38254633521717</v>
      </c>
      <c r="AP26" s="24">
        <f t="shared" si="34"/>
        <v>53.660237787513644</v>
      </c>
      <c r="AQ26" s="24">
        <f t="shared" si="35"/>
        <v>394.97770169057469</v>
      </c>
      <c r="AR26" s="25">
        <f t="shared" si="36"/>
        <v>568.92595467649323</v>
      </c>
      <c r="AS26" s="24">
        <f t="shared" si="37"/>
        <v>53.775720290290657</v>
      </c>
      <c r="AT26" s="24">
        <f t="shared" si="38"/>
        <v>395.35532443620718</v>
      </c>
      <c r="AU26" s="25">
        <f t="shared" si="39"/>
        <v>569.3327790781384</v>
      </c>
      <c r="AV26" s="24">
        <f t="shared" si="40"/>
        <v>53.862263496065985</v>
      </c>
      <c r="AW26" s="24">
        <f t="shared" si="41"/>
        <v>395.63803291870636</v>
      </c>
      <c r="AX26" s="25">
        <f t="shared" si="42"/>
        <v>569.63770466236326</v>
      </c>
      <c r="AY26" s="24">
        <f t="shared" si="43"/>
        <v>53.927178656425106</v>
      </c>
      <c r="AZ26" s="24">
        <f t="shared" si="44"/>
        <v>395.84993035859145</v>
      </c>
      <c r="BA26" s="25">
        <f t="shared" si="45"/>
        <v>569.86645416147815</v>
      </c>
      <c r="BB26" s="24">
        <f t="shared" si="46"/>
        <v>53.97590421975864</v>
      </c>
      <c r="BC26" s="24">
        <f t="shared" si="47"/>
        <v>396.0088918749255</v>
      </c>
      <c r="BD26" s="25">
        <f t="shared" si="48"/>
        <v>570.0381702884174</v>
      </c>
      <c r="BE26" s="24">
        <f t="shared" si="49"/>
        <v>54.012496638596367</v>
      </c>
      <c r="BF26" s="24">
        <f t="shared" si="50"/>
        <v>396.12822003093413</v>
      </c>
      <c r="BG26" s="25">
        <f t="shared" si="51"/>
        <v>570.1671364281558</v>
      </c>
      <c r="BH26" s="24">
        <f t="shared" si="52"/>
        <v>54.039987814069271</v>
      </c>
      <c r="BI26" s="24">
        <f t="shared" si="53"/>
        <v>396.21784056871843</v>
      </c>
      <c r="BJ26" s="25">
        <f t="shared" si="54"/>
        <v>570.26403130312735</v>
      </c>
      <c r="BK26" s="24">
        <f t="shared" si="55"/>
        <v>54.060647405143392</v>
      </c>
      <c r="BL26" s="24">
        <f t="shared" si="56"/>
        <v>396.28517429539363</v>
      </c>
      <c r="BM26" s="25">
        <f t="shared" si="57"/>
        <v>570.336850602254</v>
      </c>
      <c r="BN26" s="24">
        <f t="shared" si="58"/>
        <v>54.076176459597889</v>
      </c>
      <c r="BO26" s="24">
        <f t="shared" si="59"/>
        <v>396.33577753715957</v>
      </c>
      <c r="BP26" s="25">
        <f t="shared" si="60"/>
        <v>570.39158783083496</v>
      </c>
      <c r="BQ26" s="24">
        <f t="shared" si="61"/>
        <v>54.087850995849543</v>
      </c>
      <c r="BR26" s="24">
        <f t="shared" si="62"/>
        <v>396.37381527227518</v>
      </c>
      <c r="BS26" s="49">
        <f t="shared" si="63"/>
        <v>570.43261782974309</v>
      </c>
      <c r="BT26" s="50">
        <f t="shared" si="64"/>
        <v>54.095632682439692</v>
      </c>
      <c r="BU26" s="50">
        <f t="shared" si="65"/>
        <v>396.40232764439776</v>
      </c>
      <c r="BV26" s="49"/>
      <c r="BW26" s="50">
        <f t="shared" si="66"/>
        <v>5.0016946280778054</v>
      </c>
      <c r="BX26" s="24"/>
      <c r="BY26" s="8"/>
      <c r="CD26" s="8"/>
      <c r="CE26" s="8"/>
      <c r="CF26" s="8"/>
      <c r="CG26" s="8"/>
    </row>
    <row r="27" spans="1:85" x14ac:dyDescent="0.15">
      <c r="A27" s="111">
        <v>1600</v>
      </c>
      <c r="B27" s="112">
        <v>239</v>
      </c>
      <c r="C27" s="111">
        <v>118</v>
      </c>
      <c r="D27" s="114">
        <f t="shared" si="67"/>
        <v>53</v>
      </c>
      <c r="E27" s="117">
        <f t="shared" si="68"/>
        <v>2.2264150943396226</v>
      </c>
      <c r="F27" s="110">
        <f t="shared" si="69"/>
        <v>57.352604293651332</v>
      </c>
      <c r="G27" s="110">
        <f t="shared" si="70"/>
        <v>9.4835788638838245</v>
      </c>
      <c r="H27" s="24">
        <f t="shared" si="0"/>
        <v>121.03540701522171</v>
      </c>
      <c r="I27" s="24">
        <f t="shared" si="1"/>
        <v>49.964592984778292</v>
      </c>
      <c r="J27" s="24">
        <f t="shared" si="2"/>
        <v>0.26052846967784193</v>
      </c>
      <c r="K27" s="29">
        <f t="shared" si="3"/>
        <v>171</v>
      </c>
      <c r="L27" s="24">
        <f t="shared" si="4"/>
        <v>0.6900584795321637</v>
      </c>
      <c r="M27" s="24">
        <f t="shared" si="5"/>
        <v>0.34536456832489421</v>
      </c>
      <c r="N27" s="25">
        <f t="shared" si="6"/>
        <v>760.52679702191017</v>
      </c>
      <c r="O27" s="24">
        <f t="shared" si="7"/>
        <v>182.25132236204158</v>
      </c>
      <c r="P27" s="24">
        <f t="shared" si="8"/>
        <v>524.8079651964058</v>
      </c>
      <c r="Q27" s="25">
        <f t="shared" si="9"/>
        <v>778.41043323479812</v>
      </c>
      <c r="R27" s="24">
        <f t="shared" si="10"/>
        <v>189.46819367985836</v>
      </c>
      <c r="S27" s="24">
        <f t="shared" si="11"/>
        <v>537.14872000997764</v>
      </c>
      <c r="T27" s="25">
        <f t="shared" si="12"/>
        <v>791.25226854275343</v>
      </c>
      <c r="U27" s="24">
        <f t="shared" si="13"/>
        <v>196.18215541791545</v>
      </c>
      <c r="V27" s="24">
        <f t="shared" si="14"/>
        <v>546.01033735698775</v>
      </c>
      <c r="W27" s="25">
        <f t="shared" si="15"/>
        <v>800.52693190975981</v>
      </c>
      <c r="X27" s="24">
        <f t="shared" si="16"/>
        <v>201.10650192397563</v>
      </c>
      <c r="Y27" s="24">
        <f t="shared" si="17"/>
        <v>552.41039745819683</v>
      </c>
      <c r="Z27" s="25">
        <f t="shared" si="18"/>
        <v>807.29644886660219</v>
      </c>
      <c r="AA27" s="24">
        <f t="shared" si="19"/>
        <v>204.74049845630097</v>
      </c>
      <c r="AB27" s="24">
        <f t="shared" si="20"/>
        <v>557.08176003660265</v>
      </c>
      <c r="AC27" s="25">
        <f t="shared" si="21"/>
        <v>812.27578392577527</v>
      </c>
      <c r="AD27" s="24">
        <f t="shared" si="22"/>
        <v>207.43488763016401</v>
      </c>
      <c r="AE27" s="24">
        <f t="shared" si="23"/>
        <v>560.51779241661677</v>
      </c>
      <c r="AF27" s="25">
        <f t="shared" si="24"/>
        <v>815.95923229002062</v>
      </c>
      <c r="AG27" s="24">
        <f t="shared" si="25"/>
        <v>209.43971682522286</v>
      </c>
      <c r="AH27" s="24">
        <f t="shared" si="26"/>
        <v>563.05958719428315</v>
      </c>
      <c r="AI27" s="25">
        <f t="shared" si="27"/>
        <v>818.69554673160519</v>
      </c>
      <c r="AJ27" s="24">
        <f t="shared" si="28"/>
        <v>210.93545746962729</v>
      </c>
      <c r="AK27" s="24">
        <f t="shared" si="29"/>
        <v>564.9478041773649</v>
      </c>
      <c r="AL27" s="25">
        <f t="shared" si="30"/>
        <v>820.73463605674669</v>
      </c>
      <c r="AM27" s="24">
        <f t="shared" si="31"/>
        <v>212.05363328022702</v>
      </c>
      <c r="AN27" s="24">
        <f t="shared" si="32"/>
        <v>566.35489505670239</v>
      </c>
      <c r="AO27" s="25">
        <f t="shared" si="33"/>
        <v>822.25770479767846</v>
      </c>
      <c r="AP27" s="24">
        <f t="shared" si="34"/>
        <v>212.89081992755325</v>
      </c>
      <c r="AQ27" s="24">
        <f t="shared" si="35"/>
        <v>567.40590155629275</v>
      </c>
      <c r="AR27" s="25">
        <f t="shared" si="36"/>
        <v>823.3973236829703</v>
      </c>
      <c r="AS27" s="24">
        <f t="shared" si="37"/>
        <v>213.51834319801691</v>
      </c>
      <c r="AT27" s="24">
        <f t="shared" si="38"/>
        <v>568.19230523152328</v>
      </c>
      <c r="AU27" s="25">
        <f t="shared" si="39"/>
        <v>824.25114348872694</v>
      </c>
      <c r="AV27" s="24">
        <f t="shared" si="40"/>
        <v>213.98911450917873</v>
      </c>
      <c r="AW27" s="24">
        <f t="shared" si="41"/>
        <v>568.78149082847824</v>
      </c>
      <c r="AX27" s="25">
        <f t="shared" si="42"/>
        <v>824.89146380348416</v>
      </c>
      <c r="AY27" s="24">
        <f t="shared" si="43"/>
        <v>214.34251765567643</v>
      </c>
      <c r="AZ27" s="24">
        <f t="shared" si="44"/>
        <v>569.22334929129318</v>
      </c>
      <c r="BA27" s="25">
        <f t="shared" si="45"/>
        <v>825.37202279326527</v>
      </c>
      <c r="BB27" s="24">
        <f t="shared" si="46"/>
        <v>214.60794254189872</v>
      </c>
      <c r="BC27" s="24">
        <f t="shared" si="47"/>
        <v>569.55496309710702</v>
      </c>
      <c r="BD27" s="25">
        <f t="shared" si="48"/>
        <v>825.73287975672406</v>
      </c>
      <c r="BE27" s="24">
        <f t="shared" si="49"/>
        <v>214.80736378698046</v>
      </c>
      <c r="BF27" s="24">
        <f t="shared" si="50"/>
        <v>569.80397550463999</v>
      </c>
      <c r="BG27" s="25">
        <f t="shared" si="51"/>
        <v>826.00396315687647</v>
      </c>
      <c r="BH27" s="24">
        <f t="shared" si="52"/>
        <v>214.95723577330594</v>
      </c>
      <c r="BI27" s="24">
        <f t="shared" si="53"/>
        <v>569.99103890357549</v>
      </c>
      <c r="BJ27" s="25">
        <f t="shared" si="54"/>
        <v>826.2076699781685</v>
      </c>
      <c r="BK27" s="24">
        <f t="shared" si="55"/>
        <v>215.06989303759318</v>
      </c>
      <c r="BL27" s="24">
        <f t="shared" si="56"/>
        <v>570.13160852294664</v>
      </c>
      <c r="BM27" s="25">
        <f t="shared" si="57"/>
        <v>826.360782084167</v>
      </c>
      <c r="BN27" s="24">
        <f t="shared" si="58"/>
        <v>215.15458952593374</v>
      </c>
      <c r="BO27" s="24">
        <f t="shared" si="59"/>
        <v>570.23726483000996</v>
      </c>
      <c r="BP27" s="25">
        <f t="shared" si="60"/>
        <v>826.47588587806536</v>
      </c>
      <c r="BQ27" s="24">
        <f t="shared" si="61"/>
        <v>215.21827235546968</v>
      </c>
      <c r="BR27" s="24">
        <f t="shared" si="62"/>
        <v>570.31669317901583</v>
      </c>
      <c r="BS27" s="49">
        <f t="shared" si="63"/>
        <v>826.56225902783069</v>
      </c>
      <c r="BT27" s="50">
        <f t="shared" si="64"/>
        <v>215.2632586684152</v>
      </c>
      <c r="BU27" s="50">
        <f t="shared" si="65"/>
        <v>570.37629570341528</v>
      </c>
      <c r="BV27" s="49"/>
      <c r="BW27" s="50">
        <f t="shared" si="66"/>
        <v>6.0475697114795368</v>
      </c>
      <c r="BX27" s="24"/>
      <c r="BY27" s="8"/>
      <c r="CD27" s="8"/>
      <c r="CE27" s="8"/>
      <c r="CF27" s="8"/>
      <c r="CG27" s="8"/>
    </row>
    <row r="28" spans="1:85" x14ac:dyDescent="0.15">
      <c r="A28" s="111">
        <v>1600</v>
      </c>
      <c r="B28" s="112">
        <v>159</v>
      </c>
      <c r="C28" s="111">
        <v>85</v>
      </c>
      <c r="D28" s="114">
        <f t="shared" si="67"/>
        <v>35</v>
      </c>
      <c r="E28" s="117">
        <f t="shared" si="68"/>
        <v>2.4285714285714284</v>
      </c>
      <c r="F28" s="110">
        <f t="shared" si="69"/>
        <v>62.534984730270594</v>
      </c>
      <c r="G28" s="110">
        <f t="shared" si="70"/>
        <v>12.559437414818651</v>
      </c>
      <c r="H28" s="24">
        <f t="shared" si="0"/>
        <v>84.937127729980148</v>
      </c>
      <c r="I28" s="24">
        <f t="shared" si="1"/>
        <v>35.062872270019852</v>
      </c>
      <c r="J28" s="24">
        <f t="shared" si="2"/>
        <v>1.592775136682943E-4</v>
      </c>
      <c r="K28" s="29">
        <f t="shared" si="3"/>
        <v>120</v>
      </c>
      <c r="L28" s="24">
        <f t="shared" si="4"/>
        <v>0.70833333333333337</v>
      </c>
      <c r="M28" s="24">
        <f t="shared" si="5"/>
        <v>0.38173776167307855</v>
      </c>
      <c r="N28" s="25">
        <f t="shared" si="6"/>
        <v>546.85778219748579</v>
      </c>
      <c r="O28" s="24">
        <f t="shared" si="7"/>
        <v>8.20927082744419E-2</v>
      </c>
      <c r="P28" s="24">
        <f t="shared" si="8"/>
        <v>387.35759572321911</v>
      </c>
      <c r="Q28" s="25">
        <f t="shared" si="9"/>
        <v>555.99844298565176</v>
      </c>
      <c r="R28" s="24">
        <f t="shared" si="10"/>
        <v>0.1082338605967714</v>
      </c>
      <c r="S28" s="24">
        <f t="shared" si="11"/>
        <v>393.83223044817004</v>
      </c>
      <c r="T28" s="25">
        <f t="shared" si="12"/>
        <v>562.50905168361226</v>
      </c>
      <c r="U28" s="24">
        <f t="shared" si="13"/>
        <v>0.10394733038994815</v>
      </c>
      <c r="V28" s="24">
        <f t="shared" si="14"/>
        <v>398.44391160922538</v>
      </c>
      <c r="W28" s="25">
        <f t="shared" si="15"/>
        <v>567.17318692005801</v>
      </c>
      <c r="X28" s="24">
        <f t="shared" si="16"/>
        <v>0.10088736666026439</v>
      </c>
      <c r="Y28" s="24">
        <f t="shared" si="17"/>
        <v>401.74767406837447</v>
      </c>
      <c r="Z28" s="25">
        <f t="shared" si="18"/>
        <v>570.55761165226113</v>
      </c>
      <c r="AA28" s="24">
        <f t="shared" si="19"/>
        <v>9.8676795123454619E-2</v>
      </c>
      <c r="AB28" s="24">
        <f t="shared" si="20"/>
        <v>404.14497492035167</v>
      </c>
      <c r="AC28" s="25">
        <f t="shared" si="21"/>
        <v>573.03639797896142</v>
      </c>
      <c r="AD28" s="24">
        <f t="shared" si="22"/>
        <v>9.7063772611908891E-2</v>
      </c>
      <c r="AE28" s="24">
        <f t="shared" si="23"/>
        <v>405.90078190176433</v>
      </c>
      <c r="AF28" s="25">
        <f t="shared" si="24"/>
        <v>574.8643041164072</v>
      </c>
      <c r="AG28" s="24">
        <f t="shared" si="25"/>
        <v>9.5877861461489605E-2</v>
      </c>
      <c r="AH28" s="24">
        <f t="shared" si="26"/>
        <v>407.19554874912177</v>
      </c>
      <c r="AI28" s="25">
        <f t="shared" si="27"/>
        <v>576.2190336660442</v>
      </c>
      <c r="AJ28" s="24">
        <f t="shared" si="28"/>
        <v>9.5001009607078982E-2</v>
      </c>
      <c r="AK28" s="24">
        <f t="shared" si="29"/>
        <v>408.15514884678134</v>
      </c>
      <c r="AL28" s="25">
        <f t="shared" si="30"/>
        <v>577.22682430017312</v>
      </c>
      <c r="AM28" s="24">
        <f t="shared" si="31"/>
        <v>9.434990667893467E-2</v>
      </c>
      <c r="AN28" s="24">
        <f t="shared" si="32"/>
        <v>408.869000545956</v>
      </c>
      <c r="AO28" s="25">
        <f t="shared" si="33"/>
        <v>577.978607570186</v>
      </c>
      <c r="AP28" s="24">
        <f t="shared" si="34"/>
        <v>9.3864884224773001E-2</v>
      </c>
      <c r="AQ28" s="24">
        <f t="shared" si="35"/>
        <v>409.40151369554843</v>
      </c>
      <c r="AR28" s="25">
        <f t="shared" si="36"/>
        <v>578.54057836849279</v>
      </c>
      <c r="AS28" s="24">
        <f t="shared" si="37"/>
        <v>9.3502710379982576E-2</v>
      </c>
      <c r="AT28" s="24">
        <f t="shared" si="38"/>
        <v>409.79957634434908</v>
      </c>
      <c r="AU28" s="25">
        <f t="shared" si="39"/>
        <v>578.96131153835495</v>
      </c>
      <c r="AV28" s="24">
        <f t="shared" si="40"/>
        <v>9.3231781139874653E-2</v>
      </c>
      <c r="AW28" s="24">
        <f t="shared" si="41"/>
        <v>410.09759567300142</v>
      </c>
      <c r="AX28" s="25">
        <f t="shared" si="42"/>
        <v>579.2766688052194</v>
      </c>
      <c r="AY28" s="24">
        <f t="shared" si="43"/>
        <v>9.3028833765572055E-2</v>
      </c>
      <c r="AZ28" s="24">
        <f t="shared" si="44"/>
        <v>410.32097373703044</v>
      </c>
      <c r="BA28" s="25">
        <f t="shared" si="45"/>
        <v>579.51324772464693</v>
      </c>
      <c r="BB28" s="24">
        <f t="shared" si="46"/>
        <v>9.287665520129354E-2</v>
      </c>
      <c r="BC28" s="24">
        <f t="shared" si="47"/>
        <v>410.48855047162493</v>
      </c>
      <c r="BD28" s="25">
        <f t="shared" si="48"/>
        <v>579.69084330937426</v>
      </c>
      <c r="BE28" s="24">
        <f t="shared" si="49"/>
        <v>9.2762457821342917E-2</v>
      </c>
      <c r="BF28" s="24">
        <f t="shared" si="50"/>
        <v>410.61434734414013</v>
      </c>
      <c r="BG28" s="25">
        <f t="shared" si="51"/>
        <v>579.82422636918022</v>
      </c>
      <c r="BH28" s="24">
        <f t="shared" si="52"/>
        <v>9.2676712811605791E-2</v>
      </c>
      <c r="BI28" s="24">
        <f t="shared" si="53"/>
        <v>410.70882701150271</v>
      </c>
      <c r="BJ28" s="25">
        <f t="shared" si="54"/>
        <v>579.92444044091451</v>
      </c>
      <c r="BK28" s="24">
        <f t="shared" si="55"/>
        <v>9.2612303362994988E-2</v>
      </c>
      <c r="BL28" s="24">
        <f t="shared" si="56"/>
        <v>410.77981197898112</v>
      </c>
      <c r="BM28" s="25">
        <f t="shared" si="57"/>
        <v>579.99975459362861</v>
      </c>
      <c r="BN28" s="24">
        <f t="shared" si="58"/>
        <v>9.2563904887323134E-2</v>
      </c>
      <c r="BO28" s="24">
        <f t="shared" si="59"/>
        <v>410.8331595038203</v>
      </c>
      <c r="BP28" s="25">
        <f t="shared" si="60"/>
        <v>580.05636738348232</v>
      </c>
      <c r="BQ28" s="24">
        <f t="shared" si="61"/>
        <v>9.2527528455296826E-2</v>
      </c>
      <c r="BR28" s="24">
        <f t="shared" si="62"/>
        <v>410.87326022996666</v>
      </c>
      <c r="BS28" s="49">
        <f t="shared" si="63"/>
        <v>580.0988056927481</v>
      </c>
      <c r="BT28" s="50">
        <f t="shared" si="64"/>
        <v>9.2541068020528069E-2</v>
      </c>
      <c r="BU28" s="50">
        <f t="shared" si="65"/>
        <v>410.9033206990299</v>
      </c>
      <c r="BV28" s="49"/>
      <c r="BW28" s="50">
        <f t="shared" si="66"/>
        <v>4.9791230820965522</v>
      </c>
      <c r="BX28" s="24"/>
      <c r="BY28" s="8"/>
      <c r="CD28" s="8"/>
      <c r="CE28" s="8"/>
      <c r="CF28" s="8"/>
      <c r="CG28" s="8"/>
    </row>
    <row r="29" spans="1:85" x14ac:dyDescent="0.15">
      <c r="A29" s="111">
        <v>1600</v>
      </c>
      <c r="B29" s="112">
        <v>90</v>
      </c>
      <c r="C29" s="111">
        <v>85</v>
      </c>
      <c r="D29" s="114">
        <f t="shared" si="67"/>
        <v>20</v>
      </c>
      <c r="E29" s="117">
        <f t="shared" si="68"/>
        <v>4.25</v>
      </c>
      <c r="F29" s="110">
        <f t="shared" si="69"/>
        <v>109.04130946906635</v>
      </c>
      <c r="G29" s="110">
        <f t="shared" si="70"/>
        <v>27.09949807356449</v>
      </c>
      <c r="H29" s="24">
        <f t="shared" si="0"/>
        <v>74.319986763732629</v>
      </c>
      <c r="I29" s="24">
        <f t="shared" si="1"/>
        <v>30.680013236267374</v>
      </c>
      <c r="J29" s="24">
        <f t="shared" si="2"/>
        <v>5.2525683766957698</v>
      </c>
      <c r="K29" s="29">
        <f t="shared" si="3"/>
        <v>105</v>
      </c>
      <c r="L29" s="24">
        <f t="shared" si="4"/>
        <v>0.80952380952380953</v>
      </c>
      <c r="M29" s="24">
        <f t="shared" si="5"/>
        <v>0.62021225367241839</v>
      </c>
      <c r="N29" s="25">
        <f t="shared" si="6"/>
        <v>481.99475241248263</v>
      </c>
      <c r="O29" s="24">
        <f t="shared" si="7"/>
        <v>2403.5303128347846</v>
      </c>
      <c r="P29" s="24">
        <f t="shared" si="8"/>
        <v>390.18622814343831</v>
      </c>
      <c r="Q29" s="25">
        <f t="shared" si="9"/>
        <v>489.06488330734777</v>
      </c>
      <c r="R29" s="24">
        <f t="shared" si="10"/>
        <v>2477.8584835729275</v>
      </c>
      <c r="S29" s="24">
        <f t="shared" si="11"/>
        <v>395.90966743928152</v>
      </c>
      <c r="T29" s="25">
        <f t="shared" si="12"/>
        <v>494.09136103943342</v>
      </c>
      <c r="U29" s="24">
        <f t="shared" si="13"/>
        <v>2528.1321339982842</v>
      </c>
      <c r="V29" s="24">
        <f t="shared" si="14"/>
        <v>399.97872084144609</v>
      </c>
      <c r="W29" s="25">
        <f t="shared" si="15"/>
        <v>497.68355481959571</v>
      </c>
      <c r="X29" s="24">
        <f t="shared" si="16"/>
        <v>2564.3638330427912</v>
      </c>
      <c r="Y29" s="24">
        <f t="shared" si="17"/>
        <v>402.88668723491082</v>
      </c>
      <c r="Z29" s="25">
        <f t="shared" si="18"/>
        <v>500.28560301600629</v>
      </c>
      <c r="AA29" s="24">
        <f t="shared" si="19"/>
        <v>2590.7670174106702</v>
      </c>
      <c r="AB29" s="24">
        <f t="shared" si="20"/>
        <v>404.99310720343368</v>
      </c>
      <c r="AC29" s="25">
        <f t="shared" si="21"/>
        <v>502.1889487456578</v>
      </c>
      <c r="AD29" s="24">
        <f t="shared" si="22"/>
        <v>2610.1646851240175</v>
      </c>
      <c r="AE29" s="24">
        <f t="shared" si="23"/>
        <v>406.53391088934205</v>
      </c>
      <c r="AF29" s="25">
        <f t="shared" si="24"/>
        <v>503.59120479801123</v>
      </c>
      <c r="AG29" s="24">
        <f t="shared" si="25"/>
        <v>2624.5011379550692</v>
      </c>
      <c r="AH29" s="24">
        <f t="shared" si="26"/>
        <v>407.66907055077098</v>
      </c>
      <c r="AI29" s="25">
        <f t="shared" si="27"/>
        <v>504.62975320334522</v>
      </c>
      <c r="AJ29" s="24">
        <f t="shared" si="28"/>
        <v>2635.1440240965544</v>
      </c>
      <c r="AK29" s="24">
        <f t="shared" si="29"/>
        <v>408.50980021223182</v>
      </c>
      <c r="AL29" s="25">
        <f t="shared" si="30"/>
        <v>505.40193996611026</v>
      </c>
      <c r="AM29" s="24">
        <f t="shared" si="31"/>
        <v>2643.0710275704605</v>
      </c>
      <c r="AN29" s="24">
        <f t="shared" si="32"/>
        <v>409.13490378208928</v>
      </c>
      <c r="AO29" s="25">
        <f t="shared" si="33"/>
        <v>505.97775010320669</v>
      </c>
      <c r="AP29" s="24">
        <f t="shared" si="34"/>
        <v>2648.9897307487363</v>
      </c>
      <c r="AQ29" s="24">
        <f t="shared" si="35"/>
        <v>409.60103579783402</v>
      </c>
      <c r="AR29" s="25">
        <f t="shared" si="36"/>
        <v>506.40805564236229</v>
      </c>
      <c r="AS29" s="24">
        <f t="shared" si="37"/>
        <v>2653.4170633713411</v>
      </c>
      <c r="AT29" s="24">
        <f t="shared" si="38"/>
        <v>409.94937837715042</v>
      </c>
      <c r="AU29" s="25">
        <f t="shared" si="39"/>
        <v>506.73014590852756</v>
      </c>
      <c r="AV29" s="24">
        <f t="shared" si="40"/>
        <v>2656.7333734949862</v>
      </c>
      <c r="AW29" s="24">
        <f t="shared" si="41"/>
        <v>410.21011811642705</v>
      </c>
      <c r="AX29" s="25">
        <f t="shared" si="42"/>
        <v>506.97152771344349</v>
      </c>
      <c r="AY29" s="24">
        <f t="shared" si="43"/>
        <v>2659.2200301951493</v>
      </c>
      <c r="AZ29" s="24">
        <f t="shared" si="44"/>
        <v>410.40552243469233</v>
      </c>
      <c r="BA29" s="25">
        <f t="shared" si="45"/>
        <v>507.15258911450923</v>
      </c>
      <c r="BB29" s="24">
        <f t="shared" si="46"/>
        <v>2661.0860332945776</v>
      </c>
      <c r="BC29" s="24">
        <f t="shared" si="47"/>
        <v>410.5520959498408</v>
      </c>
      <c r="BD29" s="25">
        <f t="shared" si="48"/>
        <v>507.28849650925287</v>
      </c>
      <c r="BE29" s="24">
        <f t="shared" si="49"/>
        <v>2662.487106968561</v>
      </c>
      <c r="BF29" s="24">
        <f t="shared" si="50"/>
        <v>410.66211622177616</v>
      </c>
      <c r="BG29" s="25">
        <f t="shared" si="51"/>
        <v>507.39056281242569</v>
      </c>
      <c r="BH29" s="24">
        <f t="shared" si="52"/>
        <v>2663.5395507347525</v>
      </c>
      <c r="BI29" s="24">
        <f t="shared" si="53"/>
        <v>410.7447413243446</v>
      </c>
      <c r="BJ29" s="25">
        <f t="shared" si="54"/>
        <v>507.46724393695007</v>
      </c>
      <c r="BK29" s="24">
        <f t="shared" si="55"/>
        <v>2664.3303733089897</v>
      </c>
      <c r="BL29" s="24">
        <f t="shared" si="56"/>
        <v>410.80681652038817</v>
      </c>
      <c r="BM29" s="25">
        <f t="shared" si="57"/>
        <v>507.52487012221377</v>
      </c>
      <c r="BN29" s="24">
        <f t="shared" si="58"/>
        <v>2664.9247559300584</v>
      </c>
      <c r="BO29" s="24">
        <f t="shared" si="59"/>
        <v>410.85346628941113</v>
      </c>
      <c r="BP29" s="25">
        <f t="shared" si="60"/>
        <v>507.56818583257791</v>
      </c>
      <c r="BQ29" s="24">
        <f t="shared" si="61"/>
        <v>2665.3715768426946</v>
      </c>
      <c r="BR29" s="24">
        <f t="shared" si="62"/>
        <v>410.88853138827739</v>
      </c>
      <c r="BS29" s="49">
        <f t="shared" si="63"/>
        <v>507.60064077051317</v>
      </c>
      <c r="BT29" s="50">
        <f t="shared" si="64"/>
        <v>2665.712446255518</v>
      </c>
      <c r="BU29" s="50">
        <f t="shared" si="65"/>
        <v>410.91480443327259</v>
      </c>
      <c r="BV29" s="49"/>
      <c r="BW29" s="50">
        <f t="shared" si="66"/>
        <v>4.0237390808147824</v>
      </c>
      <c r="BX29" s="24"/>
      <c r="BY29" s="8"/>
      <c r="CD29" s="8"/>
      <c r="CE29" s="8"/>
      <c r="CF29" s="8"/>
      <c r="CG29" s="8"/>
    </row>
    <row r="30" spans="1:85" x14ac:dyDescent="0.15">
      <c r="A30" s="111">
        <v>1600</v>
      </c>
      <c r="B30" s="112">
        <v>212</v>
      </c>
      <c r="C30" s="111">
        <v>75</v>
      </c>
      <c r="D30" s="114">
        <f t="shared" si="67"/>
        <v>47</v>
      </c>
      <c r="E30" s="117">
        <f t="shared" si="68"/>
        <v>1.5957446808510638</v>
      </c>
      <c r="F30" s="110">
        <f t="shared" si="69"/>
        <v>41.158222720622753</v>
      </c>
      <c r="G30" s="110">
        <f>IF(C30=0,F30*SQRT((1/(0.5+C30))+(1/(0.5+D30))),F30*SQRT((1/C30)+(1/D30)))</f>
        <v>7.6569703894808443</v>
      </c>
      <c r="H30" s="24">
        <f t="shared" si="0"/>
        <v>86.352746525479816</v>
      </c>
      <c r="I30" s="24">
        <f t="shared" si="1"/>
        <v>35.647253474520184</v>
      </c>
      <c r="J30" s="24">
        <f t="shared" si="2"/>
        <v>5.1081010966500937</v>
      </c>
      <c r="K30" s="29">
        <f t="shared" si="3"/>
        <v>122</v>
      </c>
      <c r="L30" s="24">
        <f t="shared" si="4"/>
        <v>0.61475409836065575</v>
      </c>
      <c r="M30" s="24">
        <f t="shared" si="5"/>
        <v>0.20125334200432168</v>
      </c>
      <c r="N30" s="25">
        <f t="shared" si="6"/>
        <v>555.43519920114159</v>
      </c>
      <c r="O30" s="24">
        <f t="shared" si="7"/>
        <v>2671.4621078056148</v>
      </c>
      <c r="P30" s="24">
        <f t="shared" si="8"/>
        <v>341.456065082669</v>
      </c>
      <c r="Q30" s="25">
        <f t="shared" si="9"/>
        <v>564.86988190586283</v>
      </c>
      <c r="R30" s="24">
        <f t="shared" si="10"/>
        <v>2758.9652281317331</v>
      </c>
      <c r="S30" s="24">
        <f t="shared" si="11"/>
        <v>347.25607494212881</v>
      </c>
      <c r="T30" s="25">
        <f t="shared" si="12"/>
        <v>571.59175888475227</v>
      </c>
      <c r="U30" s="24">
        <f t="shared" si="13"/>
        <v>2826.1456154050784</v>
      </c>
      <c r="V30" s="24">
        <f t="shared" si="14"/>
        <v>351.38837636357721</v>
      </c>
      <c r="W30" s="25">
        <f t="shared" si="15"/>
        <v>576.40879566480487</v>
      </c>
      <c r="X30" s="24">
        <f t="shared" si="16"/>
        <v>2874.7928008631893</v>
      </c>
      <c r="Y30" s="24">
        <f t="shared" si="17"/>
        <v>354.34966946606858</v>
      </c>
      <c r="Z30" s="25">
        <f t="shared" si="18"/>
        <v>579.90498106247071</v>
      </c>
      <c r="AA30" s="24">
        <f t="shared" si="19"/>
        <v>2910.3639950496299</v>
      </c>
      <c r="AB30" s="24">
        <f t="shared" si="20"/>
        <v>356.49896376791236</v>
      </c>
      <c r="AC30" s="25">
        <f t="shared" si="21"/>
        <v>582.46605491704941</v>
      </c>
      <c r="AD30" s="24">
        <f t="shared" si="22"/>
        <v>2936.5615700705839</v>
      </c>
      <c r="AE30" s="24">
        <f t="shared" si="23"/>
        <v>358.07339441621889</v>
      </c>
      <c r="AF30" s="25">
        <f t="shared" si="24"/>
        <v>584.35487605051071</v>
      </c>
      <c r="AG30" s="24">
        <f t="shared" si="25"/>
        <v>2955.9586716700037</v>
      </c>
      <c r="AH30" s="24">
        <f t="shared" si="26"/>
        <v>359.23455494908444</v>
      </c>
      <c r="AI30" s="25">
        <f t="shared" si="27"/>
        <v>585.75488046231737</v>
      </c>
      <c r="AJ30" s="24">
        <f t="shared" si="28"/>
        <v>2970.3775844342558</v>
      </c>
      <c r="AK30" s="24">
        <f t="shared" si="29"/>
        <v>360.0952133989656</v>
      </c>
      <c r="AL30" s="25">
        <f t="shared" si="30"/>
        <v>586.79642227009458</v>
      </c>
      <c r="AM30" s="24">
        <f t="shared" si="31"/>
        <v>2981.127637065837</v>
      </c>
      <c r="AN30" s="24">
        <f t="shared" si="32"/>
        <v>360.73550549391064</v>
      </c>
      <c r="AO30" s="25">
        <f t="shared" si="33"/>
        <v>587.57342238775504</v>
      </c>
      <c r="AP30" s="24">
        <f t="shared" si="34"/>
        <v>2989.1600656918354</v>
      </c>
      <c r="AQ30" s="24">
        <f t="shared" si="35"/>
        <v>361.2131695006691</v>
      </c>
      <c r="AR30" s="25">
        <f t="shared" si="36"/>
        <v>588.1542652163655</v>
      </c>
      <c r="AS30" s="24">
        <f t="shared" si="37"/>
        <v>2995.1718070786865</v>
      </c>
      <c r="AT30" s="24">
        <f t="shared" si="38"/>
        <v>361.57024501006077</v>
      </c>
      <c r="AU30" s="25">
        <f t="shared" si="39"/>
        <v>588.58913971795846</v>
      </c>
      <c r="AV30" s="24">
        <f t="shared" si="40"/>
        <v>2999.6767684214633</v>
      </c>
      <c r="AW30" s="24">
        <f t="shared" si="41"/>
        <v>361.83758589218758</v>
      </c>
      <c r="AX30" s="25">
        <f t="shared" si="42"/>
        <v>588.91510342987272</v>
      </c>
      <c r="AY30" s="24">
        <f t="shared" si="43"/>
        <v>3003.0557426756104</v>
      </c>
      <c r="AZ30" s="24">
        <f t="shared" si="44"/>
        <v>362.03797342000371</v>
      </c>
      <c r="BA30" s="25">
        <f t="shared" si="45"/>
        <v>589.15964312643541</v>
      </c>
      <c r="BB30" s="24">
        <f t="shared" si="46"/>
        <v>3005.5919292229196</v>
      </c>
      <c r="BC30" s="24">
        <f t="shared" si="47"/>
        <v>362.18830520067752</v>
      </c>
      <c r="BD30" s="25">
        <f t="shared" si="48"/>
        <v>589.34321691778928</v>
      </c>
      <c r="BE30" s="24">
        <f t="shared" si="49"/>
        <v>3007.4965331095145</v>
      </c>
      <c r="BF30" s="24">
        <f t="shared" si="50"/>
        <v>362.30115794126391</v>
      </c>
      <c r="BG30" s="25">
        <f t="shared" si="51"/>
        <v>589.48109114281397</v>
      </c>
      <c r="BH30" s="24">
        <f t="shared" si="52"/>
        <v>3008.9273985386717</v>
      </c>
      <c r="BI30" s="24">
        <f t="shared" si="53"/>
        <v>362.38591668615612</v>
      </c>
      <c r="BJ30" s="25">
        <f t="shared" si="54"/>
        <v>589.58468023868011</v>
      </c>
      <c r="BK30" s="24">
        <f t="shared" si="55"/>
        <v>3010.0026775201309</v>
      </c>
      <c r="BL30" s="24">
        <f t="shared" si="56"/>
        <v>362.4495985073853</v>
      </c>
      <c r="BM30" s="25">
        <f t="shared" si="57"/>
        <v>589.66253122655382</v>
      </c>
      <c r="BN30" s="24">
        <f t="shared" si="58"/>
        <v>3010.8109167274542</v>
      </c>
      <c r="BO30" s="24">
        <f t="shared" si="59"/>
        <v>362.49745772124214</v>
      </c>
      <c r="BP30" s="25">
        <f t="shared" si="60"/>
        <v>589.72105114914712</v>
      </c>
      <c r="BQ30" s="24">
        <f t="shared" si="61"/>
        <v>3011.418535433877</v>
      </c>
      <c r="BR30" s="24">
        <f t="shared" si="62"/>
        <v>362.53343308349207</v>
      </c>
      <c r="BS30" s="49">
        <f t="shared" si="63"/>
        <v>589.76492151907291</v>
      </c>
      <c r="BT30" s="50">
        <f t="shared" si="64"/>
        <v>3011.8666013759535</v>
      </c>
      <c r="BU30" s="50">
        <f t="shared" si="65"/>
        <v>362.56040257320058</v>
      </c>
      <c r="BV30" s="49"/>
      <c r="BW30" s="50">
        <f t="shared" si="66"/>
        <v>5.3752620980702721</v>
      </c>
      <c r="BX30" s="24"/>
      <c r="BY30" s="8"/>
      <c r="CD30" s="8"/>
      <c r="CE30" s="8"/>
      <c r="CF30" s="8"/>
      <c r="CG30" s="8"/>
    </row>
    <row r="31" spans="1:85" x14ac:dyDescent="0.15">
      <c r="A31" s="111">
        <v>1600</v>
      </c>
      <c r="B31" s="112">
        <v>199</v>
      </c>
      <c r="C31" s="111">
        <v>103</v>
      </c>
      <c r="D31" s="114">
        <f t="shared" si="67"/>
        <v>44</v>
      </c>
      <c r="E31" s="117">
        <f t="shared" si="68"/>
        <v>2.3409090909090908</v>
      </c>
      <c r="F31" s="110">
        <f t="shared" si="69"/>
        <v>60.288227705606644</v>
      </c>
      <c r="G31" s="110">
        <f t="shared" si="70"/>
        <v>10.857909908756623</v>
      </c>
      <c r="H31" s="24">
        <f t="shared" si="0"/>
        <v>104.04798146922568</v>
      </c>
      <c r="I31" s="24">
        <f t="shared" si="1"/>
        <v>42.952018530774325</v>
      </c>
      <c r="J31" s="24">
        <f t="shared" si="2"/>
        <v>3.6124954090996038E-2</v>
      </c>
      <c r="K31" s="29">
        <f t="shared" si="3"/>
        <v>147</v>
      </c>
      <c r="L31" s="24">
        <f t="shared" si="4"/>
        <v>0.70068027210884354</v>
      </c>
      <c r="M31" s="24">
        <f t="shared" si="5"/>
        <v>0.36658033881200497</v>
      </c>
      <c r="N31" s="25">
        <f t="shared" si="6"/>
        <v>661.27184976416072</v>
      </c>
      <c r="O31" s="24">
        <f t="shared" si="7"/>
        <v>22.22453114525355</v>
      </c>
      <c r="P31" s="24">
        <f t="shared" si="8"/>
        <v>463.34013963067042</v>
      </c>
      <c r="Q31" s="25">
        <f t="shared" si="9"/>
        <v>674.72527869869634</v>
      </c>
      <c r="R31" s="24">
        <f t="shared" si="10"/>
        <v>22.700203054473832</v>
      </c>
      <c r="S31" s="24">
        <f t="shared" si="11"/>
        <v>472.76669187731784</v>
      </c>
      <c r="T31" s="25">
        <f t="shared" si="12"/>
        <v>684.34679882521789</v>
      </c>
      <c r="U31" s="24">
        <f t="shared" si="13"/>
        <v>23.475057793675944</v>
      </c>
      <c r="V31" s="24">
        <f t="shared" si="14"/>
        <v>479.50830121766967</v>
      </c>
      <c r="W31" s="25">
        <f t="shared" si="15"/>
        <v>691.26939836894792</v>
      </c>
      <c r="X31" s="24">
        <f t="shared" si="16"/>
        <v>24.041400488940099</v>
      </c>
      <c r="Y31" s="24">
        <f t="shared" si="17"/>
        <v>484.35883014967101</v>
      </c>
      <c r="Z31" s="25">
        <f t="shared" si="18"/>
        <v>696.30831156688862</v>
      </c>
      <c r="AA31" s="24">
        <f t="shared" si="19"/>
        <v>24.45824393866155</v>
      </c>
      <c r="AB31" s="24">
        <f t="shared" si="20"/>
        <v>487.88949722033692</v>
      </c>
      <c r="AC31" s="25">
        <f t="shared" si="21"/>
        <v>700.00726462328896</v>
      </c>
      <c r="AD31" s="24">
        <f t="shared" si="22"/>
        <v>24.766705410520302</v>
      </c>
      <c r="AE31" s="24">
        <f t="shared" si="23"/>
        <v>490.48128065441335</v>
      </c>
      <c r="AF31" s="25">
        <f t="shared" si="24"/>
        <v>702.73951106035747</v>
      </c>
      <c r="AG31" s="24">
        <f t="shared" si="25"/>
        <v>24.995890708911887</v>
      </c>
      <c r="AH31" s="24">
        <f t="shared" si="26"/>
        <v>492.39571183140691</v>
      </c>
      <c r="AI31" s="25">
        <f t="shared" si="27"/>
        <v>704.76698688877968</v>
      </c>
      <c r="AJ31" s="24">
        <f t="shared" si="28"/>
        <v>25.166693364816783</v>
      </c>
      <c r="AK31" s="24">
        <f t="shared" si="29"/>
        <v>493.81632414655991</v>
      </c>
      <c r="AL31" s="25">
        <f t="shared" si="30"/>
        <v>706.2766231686204</v>
      </c>
      <c r="AM31" s="24">
        <f t="shared" si="31"/>
        <v>25.294277371205148</v>
      </c>
      <c r="AN31" s="24">
        <f t="shared" si="32"/>
        <v>494.87409650590411</v>
      </c>
      <c r="AO31" s="25">
        <f t="shared" si="33"/>
        <v>707.40354009327109</v>
      </c>
      <c r="AP31" s="24">
        <f t="shared" si="34"/>
        <v>25.38974249653312</v>
      </c>
      <c r="AQ31" s="24">
        <f t="shared" si="35"/>
        <v>495.6637049633124</v>
      </c>
      <c r="AR31" s="25">
        <f t="shared" si="36"/>
        <v>708.24636039870052</v>
      </c>
      <c r="AS31" s="24">
        <f t="shared" si="37"/>
        <v>25.461266965009461</v>
      </c>
      <c r="AT31" s="24">
        <f t="shared" si="38"/>
        <v>496.25425252425953</v>
      </c>
      <c r="AU31" s="25">
        <f t="shared" si="39"/>
        <v>708.87759978440806</v>
      </c>
      <c r="AV31" s="24">
        <f t="shared" si="40"/>
        <v>25.514906686805272</v>
      </c>
      <c r="AW31" s="24">
        <f t="shared" si="41"/>
        <v>496.69654950880295</v>
      </c>
      <c r="AX31" s="25">
        <f t="shared" si="42"/>
        <v>709.35087592795981</v>
      </c>
      <c r="AY31" s="24">
        <f t="shared" si="43"/>
        <v>25.555163151480446</v>
      </c>
      <c r="AZ31" s="24">
        <f t="shared" si="44"/>
        <v>497.0281647658494</v>
      </c>
      <c r="BA31" s="25">
        <f t="shared" si="45"/>
        <v>709.70600083253589</v>
      </c>
      <c r="BB31" s="24">
        <f t="shared" si="46"/>
        <v>25.585392115548476</v>
      </c>
      <c r="BC31" s="24">
        <f t="shared" si="47"/>
        <v>497.27699378062039</v>
      </c>
      <c r="BD31" s="25">
        <f t="shared" si="48"/>
        <v>709.97262976991817</v>
      </c>
      <c r="BE31" s="24">
        <f t="shared" si="49"/>
        <v>25.608100709292405</v>
      </c>
      <c r="BF31" s="24">
        <f t="shared" si="50"/>
        <v>497.46381541701749</v>
      </c>
      <c r="BG31" s="25">
        <f t="shared" si="51"/>
        <v>710.17290552575571</v>
      </c>
      <c r="BH31" s="24">
        <f t="shared" si="52"/>
        <v>25.625165150822212</v>
      </c>
      <c r="BI31" s="24">
        <f t="shared" si="53"/>
        <v>497.60414468811456</v>
      </c>
      <c r="BJ31" s="25">
        <f t="shared" si="54"/>
        <v>710.32339146204993</v>
      </c>
      <c r="BK31" s="24">
        <f t="shared" si="55"/>
        <v>25.63799127195233</v>
      </c>
      <c r="BL31" s="24">
        <f t="shared" si="56"/>
        <v>497.70958721490575</v>
      </c>
      <c r="BM31" s="25">
        <f t="shared" si="57"/>
        <v>710.43649429570314</v>
      </c>
      <c r="BN31" s="24">
        <f t="shared" si="58"/>
        <v>25.64763344377652</v>
      </c>
      <c r="BO31" s="24">
        <f t="shared" si="59"/>
        <v>497.78883613916616</v>
      </c>
      <c r="BP31" s="25">
        <f t="shared" si="60"/>
        <v>710.5215167739965</v>
      </c>
      <c r="BQ31" s="24">
        <f t="shared" si="61"/>
        <v>25.654883005601096</v>
      </c>
      <c r="BR31" s="24">
        <f t="shared" si="62"/>
        <v>497.84840971239208</v>
      </c>
      <c r="BS31" s="49">
        <f t="shared" si="63"/>
        <v>710.58529158162048</v>
      </c>
      <c r="BT31" s="50">
        <f t="shared" si="64"/>
        <v>25.659488661074079</v>
      </c>
      <c r="BU31" s="50">
        <f t="shared" si="65"/>
        <v>497.89309546195176</v>
      </c>
      <c r="BV31" s="49"/>
      <c r="BW31" s="50">
        <f t="shared" si="66"/>
        <v>5.5524707989136797</v>
      </c>
      <c r="BX31" s="24"/>
      <c r="BY31" s="8"/>
      <c r="CD31" s="8"/>
      <c r="CE31" s="8"/>
      <c r="CF31" s="8"/>
      <c r="CG31" s="8"/>
    </row>
    <row r="32" spans="1:85" x14ac:dyDescent="0.15">
      <c r="A32" s="111">
        <v>1600</v>
      </c>
      <c r="B32" s="112">
        <v>183</v>
      </c>
      <c r="C32" s="111">
        <v>103</v>
      </c>
      <c r="D32" s="114">
        <f t="shared" si="67"/>
        <v>40</v>
      </c>
      <c r="E32" s="117">
        <f t="shared" si="68"/>
        <v>2.5750000000000002</v>
      </c>
      <c r="F32" s="110">
        <f t="shared" si="69"/>
        <v>66.286155555520281</v>
      </c>
      <c r="G32" s="110">
        <f t="shared" si="70"/>
        <v>12.349297195336964</v>
      </c>
      <c r="H32" s="24">
        <f t="shared" si="0"/>
        <v>101.21674387822634</v>
      </c>
      <c r="I32" s="24">
        <f t="shared" si="1"/>
        <v>41.783256121773661</v>
      </c>
      <c r="J32" s="24">
        <f t="shared" si="2"/>
        <v>0.10752484906006561</v>
      </c>
      <c r="K32" s="29">
        <f t="shared" si="3"/>
        <v>143</v>
      </c>
      <c r="L32" s="24">
        <f t="shared" si="4"/>
        <v>0.72027972027972031</v>
      </c>
      <c r="M32" s="24">
        <f t="shared" si="5"/>
        <v>0.40748532657826797</v>
      </c>
      <c r="N32" s="25">
        <f t="shared" si="6"/>
        <v>644.50796174338984</v>
      </c>
      <c r="O32" s="24">
        <f t="shared" si="7"/>
        <v>64.596939985208436</v>
      </c>
      <c r="P32" s="24">
        <f>N32*L32</f>
        <v>464.22601440258154</v>
      </c>
      <c r="Q32" s="25">
        <f t="shared" si="9"/>
        <v>657.27650688896551</v>
      </c>
      <c r="R32" s="24">
        <f t="shared" si="10"/>
        <v>67.914010941797372</v>
      </c>
      <c r="S32" s="24">
        <f t="shared" si="11"/>
        <v>473.42293852841573</v>
      </c>
      <c r="T32" s="25">
        <f t="shared" si="12"/>
        <v>666.402342875508</v>
      </c>
      <c r="U32" s="24">
        <f t="shared" si="13"/>
        <v>69.606592482666883</v>
      </c>
      <c r="V32" s="24">
        <f t="shared" si="14"/>
        <v>479.99609312012115</v>
      </c>
      <c r="W32" s="25">
        <f t="shared" si="15"/>
        <v>672.9641265800534</v>
      </c>
      <c r="X32" s="24">
        <f t="shared" si="16"/>
        <v>70.835157770115259</v>
      </c>
      <c r="Y32" s="24">
        <f t="shared" si="17"/>
        <v>484.72241285136715</v>
      </c>
      <c r="Z32" s="25">
        <f t="shared" si="18"/>
        <v>677.73820852681627</v>
      </c>
      <c r="AA32" s="24">
        <f t="shared" si="19"/>
        <v>71.735162901763218</v>
      </c>
      <c r="AB32" s="24">
        <f t="shared" si="20"/>
        <v>488.16108726057399</v>
      </c>
      <c r="AC32" s="25">
        <f t="shared" si="21"/>
        <v>681.24157808067787</v>
      </c>
      <c r="AD32" s="24">
        <f t="shared" si="22"/>
        <v>72.398920003202676</v>
      </c>
      <c r="AE32" s="24">
        <f t="shared" si="23"/>
        <v>490.68449330286592</v>
      </c>
      <c r="AF32" s="25">
        <f t="shared" si="24"/>
        <v>683.82871646069259</v>
      </c>
      <c r="AG32" s="24">
        <f t="shared" si="25"/>
        <v>72.890885298209724</v>
      </c>
      <c r="AH32" s="24">
        <f t="shared" si="26"/>
        <v>492.54795661154782</v>
      </c>
      <c r="AI32" s="25">
        <f t="shared" si="27"/>
        <v>685.74816308722029</v>
      </c>
      <c r="AJ32" s="24">
        <f t="shared" si="28"/>
        <v>73.256873021760768</v>
      </c>
      <c r="AK32" s="24">
        <f t="shared" si="29"/>
        <v>493.93049509079503</v>
      </c>
      <c r="AL32" s="25">
        <f t="shared" si="30"/>
        <v>687.1771677718923</v>
      </c>
      <c r="AM32" s="24">
        <f t="shared" si="31"/>
        <v>73.529894351783298</v>
      </c>
      <c r="AN32" s="24">
        <f t="shared" si="32"/>
        <v>494.95977818534902</v>
      </c>
      <c r="AO32" s="25">
        <f t="shared" si="33"/>
        <v>688.24378657023783</v>
      </c>
      <c r="AP32" s="24">
        <f t="shared" si="34"/>
        <v>73.733984386808146</v>
      </c>
      <c r="AQ32" s="24">
        <f t="shared" si="35"/>
        <v>495.72804207506641</v>
      </c>
      <c r="AR32" s="25">
        <f t="shared" si="36"/>
        <v>689.04144958330903</v>
      </c>
      <c r="AS32" s="24">
        <f t="shared" si="37"/>
        <v>73.88678214553218</v>
      </c>
      <c r="AT32" s="24">
        <f t="shared" si="38"/>
        <v>496.30258256699886</v>
      </c>
      <c r="AU32" s="25">
        <f t="shared" si="39"/>
        <v>689.63883409308619</v>
      </c>
      <c r="AV32" s="24">
        <f t="shared" si="40"/>
        <v>74.001310810933461</v>
      </c>
      <c r="AW32" s="24">
        <f t="shared" si="41"/>
        <v>496.73286651460057</v>
      </c>
      <c r="AX32" s="25">
        <f t="shared" si="42"/>
        <v>690.08670830068866</v>
      </c>
      <c r="AY32" s="24">
        <f t="shared" si="43"/>
        <v>74.08722956291335</v>
      </c>
      <c r="AZ32" s="24">
        <f t="shared" si="44"/>
        <v>497.05546122357299</v>
      </c>
      <c r="BA32" s="25">
        <f t="shared" si="45"/>
        <v>690.42276205168776</v>
      </c>
      <c r="BB32" s="24">
        <f t="shared" si="46"/>
        <v>74.151727279632169</v>
      </c>
      <c r="BC32" s="24">
        <f t="shared" si="47"/>
        <v>497.29751392534155</v>
      </c>
      <c r="BD32" s="25">
        <f t="shared" si="48"/>
        <v>690.67506627789555</v>
      </c>
      <c r="BE32" s="24">
        <f t="shared" si="49"/>
        <v>74.200168263702608</v>
      </c>
      <c r="BF32" s="24">
        <f t="shared" si="50"/>
        <v>497.47924354281992</v>
      </c>
      <c r="BG32" s="25">
        <f t="shared" si="51"/>
        <v>690.86457876560223</v>
      </c>
      <c r="BH32" s="24">
        <f t="shared" si="52"/>
        <v>74.236563204534434</v>
      </c>
      <c r="BI32" s="24">
        <f t="shared" si="53"/>
        <v>497.6157455444548</v>
      </c>
      <c r="BJ32" s="25">
        <f t="shared" si="54"/>
        <v>691.00697533141488</v>
      </c>
      <c r="BK32" s="24">
        <f t="shared" si="55"/>
        <v>74.263915192516549</v>
      </c>
      <c r="BL32" s="24">
        <f t="shared" si="56"/>
        <v>497.7183109030471</v>
      </c>
      <c r="BM32" s="25">
        <f t="shared" si="57"/>
        <v>691.11399723925535</v>
      </c>
      <c r="BN32" s="24">
        <f t="shared" si="58"/>
        <v>74.284475368990101</v>
      </c>
      <c r="BO32" s="24">
        <f t="shared" si="59"/>
        <v>497.79539661289027</v>
      </c>
      <c r="BP32" s="25">
        <f t="shared" si="60"/>
        <v>691.19444790776436</v>
      </c>
      <c r="BQ32" s="24">
        <f t="shared" si="61"/>
        <v>74.299932628037936</v>
      </c>
      <c r="BR32" s="24">
        <f t="shared" si="62"/>
        <v>497.85334359790022</v>
      </c>
      <c r="BS32" s="49">
        <f t="shared" si="63"/>
        <v>691.25478868348057</v>
      </c>
      <c r="BT32" s="50">
        <f t="shared" si="64"/>
        <v>74.312905855120746</v>
      </c>
      <c r="BU32" s="50">
        <f t="shared" si="65"/>
        <v>497.89680583495453</v>
      </c>
      <c r="BV32" s="49"/>
      <c r="BW32" s="50">
        <f t="shared" si="66"/>
        <v>5.3676055007040899</v>
      </c>
      <c r="BX32" s="24"/>
      <c r="BY32" s="8"/>
      <c r="CD32" s="8"/>
      <c r="CE32" s="8"/>
      <c r="CF32" s="8"/>
      <c r="CG32" s="8"/>
    </row>
    <row r="33" spans="1:85" x14ac:dyDescent="0.15">
      <c r="A33" s="111">
        <v>1600</v>
      </c>
      <c r="B33" s="112">
        <v>194</v>
      </c>
      <c r="C33" s="111">
        <v>101</v>
      </c>
      <c r="D33" s="114">
        <f t="shared" si="67"/>
        <v>43</v>
      </c>
      <c r="E33" s="117">
        <f t="shared" si="68"/>
        <v>2.3488372093023258</v>
      </c>
      <c r="F33" s="110">
        <f t="shared" si="69"/>
        <v>60.491454995608471</v>
      </c>
      <c r="G33" s="110">
        <f t="shared" si="70"/>
        <v>11.014895011972913</v>
      </c>
      <c r="H33" s="24">
        <f t="shared" si="0"/>
        <v>101.92455327597618</v>
      </c>
      <c r="I33" s="24">
        <f t="shared" si="1"/>
        <v>42.075446724023827</v>
      </c>
      <c r="J33" s="24">
        <f t="shared" si="2"/>
        <v>2.8702440366822457E-2</v>
      </c>
      <c r="K33" s="29">
        <f t="shared" si="3"/>
        <v>144</v>
      </c>
      <c r="L33" s="24">
        <f t="shared" si="4"/>
        <v>0.70138888888888884</v>
      </c>
      <c r="M33" s="24">
        <f t="shared" si="5"/>
        <v>0.36797678529459443</v>
      </c>
      <c r="N33" s="25">
        <f t="shared" si="6"/>
        <v>648.70494051710466</v>
      </c>
      <c r="O33" s="24">
        <f t="shared" si="7"/>
        <v>17.347356770265471</v>
      </c>
      <c r="P33" s="24">
        <f>N33*L33</f>
        <v>454.99443744602479</v>
      </c>
      <c r="Q33" s="25">
        <f t="shared" si="9"/>
        <v>661.64323963051379</v>
      </c>
      <c r="R33" s="24">
        <f t="shared" si="10"/>
        <v>17.66726532120407</v>
      </c>
      <c r="S33" s="24">
        <f t="shared" si="11"/>
        <v>464.06921668529088</v>
      </c>
      <c r="T33" s="25">
        <f t="shared" si="12"/>
        <v>670.89187870207127</v>
      </c>
      <c r="U33" s="24">
        <f t="shared" si="13"/>
        <v>18.27085318651795</v>
      </c>
      <c r="V33" s="24">
        <f t="shared" si="14"/>
        <v>470.55610936742494</v>
      </c>
      <c r="W33" s="25">
        <f t="shared" si="15"/>
        <v>677.54302044478879</v>
      </c>
      <c r="X33" s="24">
        <f t="shared" si="16"/>
        <v>18.711879056196658</v>
      </c>
      <c r="Y33" s="24">
        <f t="shared" si="17"/>
        <v>475.22114628419212</v>
      </c>
      <c r="Z33" s="25">
        <f t="shared" si="18"/>
        <v>682.38267225893742</v>
      </c>
      <c r="AA33" s="24">
        <f t="shared" si="19"/>
        <v>19.036406417697869</v>
      </c>
      <c r="AB33" s="24">
        <f t="shared" si="20"/>
        <v>478.61562429272692</v>
      </c>
      <c r="AC33" s="25">
        <f t="shared" si="21"/>
        <v>685.93445735220246</v>
      </c>
      <c r="AD33" s="24">
        <f t="shared" si="22"/>
        <v>19.276510394850007</v>
      </c>
      <c r="AE33" s="24">
        <f t="shared" si="23"/>
        <v>481.1068068928642</v>
      </c>
      <c r="AF33" s="25">
        <f t="shared" si="24"/>
        <v>688.55751135057187</v>
      </c>
      <c r="AG33" s="24">
        <f t="shared" si="25"/>
        <v>19.454881792690898</v>
      </c>
      <c r="AH33" s="24">
        <f t="shared" si="26"/>
        <v>482.94658782227606</v>
      </c>
      <c r="AI33" s="25">
        <f t="shared" si="27"/>
        <v>690.50369346037576</v>
      </c>
      <c r="AJ33" s="24">
        <f t="shared" si="28"/>
        <v>19.587801102032959</v>
      </c>
      <c r="AK33" s="24">
        <f t="shared" si="29"/>
        <v>484.31161832984685</v>
      </c>
      <c r="AL33" s="25">
        <f t="shared" si="30"/>
        <v>691.95265162823694</v>
      </c>
      <c r="AM33" s="24">
        <f t="shared" si="31"/>
        <v>19.687079762343487</v>
      </c>
      <c r="AN33" s="24">
        <f t="shared" si="32"/>
        <v>485.32790148924948</v>
      </c>
      <c r="AO33" s="25">
        <f t="shared" si="33"/>
        <v>693.0341912360974</v>
      </c>
      <c r="AP33" s="24">
        <f t="shared" si="34"/>
        <v>19.761360985953019</v>
      </c>
      <c r="AQ33" s="24">
        <f t="shared" si="35"/>
        <v>486.08648135309608</v>
      </c>
      <c r="AR33" s="25">
        <f t="shared" si="36"/>
        <v>693.84302797114015</v>
      </c>
      <c r="AS33" s="24">
        <f t="shared" si="37"/>
        <v>19.817011590070923</v>
      </c>
      <c r="AT33" s="24">
        <f t="shared" si="38"/>
        <v>486.65379045198023</v>
      </c>
      <c r="AU33" s="25">
        <f t="shared" si="39"/>
        <v>694.44878926407227</v>
      </c>
      <c r="AV33" s="24">
        <f t="shared" si="40"/>
        <v>19.85874534300121</v>
      </c>
      <c r="AW33" s="24">
        <f t="shared" si="41"/>
        <v>487.07866469216179</v>
      </c>
      <c r="AX33" s="25">
        <f t="shared" si="42"/>
        <v>694.90294857515744</v>
      </c>
      <c r="AY33" s="24">
        <f t="shared" si="43"/>
        <v>19.890065634381468</v>
      </c>
      <c r="AZ33" s="24">
        <f t="shared" si="44"/>
        <v>487.39720698674233</v>
      </c>
      <c r="BA33" s="25">
        <f t="shared" si="45"/>
        <v>695.24372094346427</v>
      </c>
      <c r="BB33" s="24">
        <f t="shared" si="46"/>
        <v>19.913583902396489</v>
      </c>
      <c r="BC33" s="24">
        <f t="shared" si="47"/>
        <v>487.63622093951312</v>
      </c>
      <c r="BD33" s="25">
        <f t="shared" si="48"/>
        <v>695.49956936619697</v>
      </c>
      <c r="BE33" s="24">
        <f t="shared" si="49"/>
        <v>19.931251041533347</v>
      </c>
      <c r="BF33" s="24">
        <f t="shared" si="50"/>
        <v>487.81567018045757</v>
      </c>
      <c r="BG33" s="25">
        <f t="shared" si="51"/>
        <v>695.69174485699978</v>
      </c>
      <c r="BH33" s="24">
        <f t="shared" si="52"/>
        <v>19.94452692692925</v>
      </c>
      <c r="BI33" s="24">
        <f t="shared" si="53"/>
        <v>487.95045993442341</v>
      </c>
      <c r="BJ33" s="25">
        <f t="shared" si="54"/>
        <v>695.83614284599264</v>
      </c>
      <c r="BK33" s="24">
        <f t="shared" si="55"/>
        <v>19.954505382159692</v>
      </c>
      <c r="BL33" s="24">
        <f t="shared" si="56"/>
        <v>488.05173907948091</v>
      </c>
      <c r="BM33" s="25">
        <f t="shared" si="57"/>
        <v>695.94466925114227</v>
      </c>
      <c r="BN33" s="24">
        <f t="shared" si="58"/>
        <v>19.962006746442363</v>
      </c>
      <c r="BO33" s="24">
        <f t="shared" si="59"/>
        <v>488.12785829420392</v>
      </c>
      <c r="BP33" s="25">
        <f t="shared" si="60"/>
        <v>696.02625103785556</v>
      </c>
      <c r="BQ33" s="24">
        <f t="shared" si="61"/>
        <v>19.967646695780214</v>
      </c>
      <c r="BR33" s="24">
        <f t="shared" si="62"/>
        <v>488.18507885294031</v>
      </c>
      <c r="BS33" s="49">
        <f t="shared" si="63"/>
        <v>696.08744141804652</v>
      </c>
      <c r="BT33" s="50">
        <f t="shared" si="64"/>
        <v>19.971157717379867</v>
      </c>
      <c r="BU33" s="50">
        <f t="shared" si="65"/>
        <v>488.22799710571314</v>
      </c>
      <c r="BV33" s="49"/>
      <c r="BW33" s="50">
        <f t="shared" si="66"/>
        <v>5.491786796865135</v>
      </c>
      <c r="BX33" s="24"/>
      <c r="BY33" s="8"/>
      <c r="CD33" s="8"/>
      <c r="CE33" s="8"/>
      <c r="CF33" s="8"/>
      <c r="CG33" s="8"/>
    </row>
    <row r="34" spans="1:85" x14ac:dyDescent="0.15">
      <c r="A34" s="111">
        <v>1600</v>
      </c>
      <c r="B34" s="112">
        <v>201</v>
      </c>
      <c r="C34" s="111">
        <v>115</v>
      </c>
      <c r="D34" s="114">
        <f t="shared" si="67"/>
        <v>44</v>
      </c>
      <c r="E34" s="117">
        <f t="shared" si="68"/>
        <v>2.6136363636363638</v>
      </c>
      <c r="F34" s="110">
        <f t="shared" si="69"/>
        <v>67.275568483813927</v>
      </c>
      <c r="G34" s="110">
        <f t="shared" si="70"/>
        <v>11.925612125027691</v>
      </c>
      <c r="H34" s="24">
        <f t="shared" si="0"/>
        <v>112.5416942422237</v>
      </c>
      <c r="I34" s="24">
        <f t="shared" si="1"/>
        <v>46.458305757776309</v>
      </c>
      <c r="J34" s="24">
        <f t="shared" si="2"/>
        <v>0.18377740050659713</v>
      </c>
      <c r="K34" s="29">
        <f t="shared" si="3"/>
        <v>159</v>
      </c>
      <c r="L34" s="24">
        <f t="shared" si="4"/>
        <v>0.72327044025157228</v>
      </c>
      <c r="M34" s="24">
        <f t="shared" si="5"/>
        <v>0.41422197324723153</v>
      </c>
      <c r="N34" s="25">
        <f t="shared" si="6"/>
        <v>711.18181600941114</v>
      </c>
      <c r="O34" s="24">
        <f t="shared" si="7"/>
        <v>120.90348949531341</v>
      </c>
      <c r="P34" s="24">
        <f>N34*L34</f>
        <v>514.37678516403946</v>
      </c>
      <c r="Q34" s="25">
        <f t="shared" si="9"/>
        <v>726.78255167508451</v>
      </c>
      <c r="R34" s="24">
        <f t="shared" si="10"/>
        <v>127.37542759176402</v>
      </c>
      <c r="S34" s="24">
        <f t="shared" si="11"/>
        <v>525.66033611719945</v>
      </c>
      <c r="T34" s="25">
        <f t="shared" si="12"/>
        <v>737.96200101249087</v>
      </c>
      <c r="U34" s="24">
        <f t="shared" si="13"/>
        <v>131.01066094979544</v>
      </c>
      <c r="V34" s="24">
        <f t="shared" si="14"/>
        <v>533.74610136123545</v>
      </c>
      <c r="W34" s="25">
        <f t="shared" si="15"/>
        <v>746.02081769104848</v>
      </c>
      <c r="X34" s="24">
        <f t="shared" si="16"/>
        <v>133.66084811618811</v>
      </c>
      <c r="Y34" s="24">
        <f t="shared" si="17"/>
        <v>539.57480524824257</v>
      </c>
      <c r="Z34" s="25">
        <f t="shared" si="18"/>
        <v>751.89484880866064</v>
      </c>
      <c r="AA34" s="24">
        <f t="shared" si="19"/>
        <v>135.6083581492465</v>
      </c>
      <c r="AB34" s="24">
        <f t="shared" si="20"/>
        <v>543.82331832072941</v>
      </c>
      <c r="AC34" s="25">
        <f t="shared" si="21"/>
        <v>756.21118025562646</v>
      </c>
      <c r="AD34" s="24">
        <f t="shared" si="22"/>
        <v>137.04792541464218</v>
      </c>
      <c r="AE34" s="24">
        <f t="shared" si="23"/>
        <v>546.94519326664806</v>
      </c>
      <c r="AF34" s="25">
        <f t="shared" si="24"/>
        <v>759.40181674888481</v>
      </c>
      <c r="AG34" s="24">
        <f t="shared" si="25"/>
        <v>138.11669228673998</v>
      </c>
      <c r="AH34" s="24">
        <f t="shared" si="26"/>
        <v>549.25288632780973</v>
      </c>
      <c r="AI34" s="25">
        <f t="shared" si="27"/>
        <v>761.77074094000761</v>
      </c>
      <c r="AJ34" s="24">
        <f t="shared" si="28"/>
        <v>138.91276243313945</v>
      </c>
      <c r="AK34" s="24">
        <f t="shared" si="29"/>
        <v>550.96625917044571</v>
      </c>
      <c r="AL34" s="25">
        <f t="shared" si="30"/>
        <v>763.53533464584359</v>
      </c>
      <c r="AM34" s="24">
        <f t="shared" si="31"/>
        <v>139.50716338620717</v>
      </c>
      <c r="AN34" s="24">
        <f t="shared" si="32"/>
        <v>552.24253763693082</v>
      </c>
      <c r="AO34" s="25">
        <f t="shared" si="33"/>
        <v>764.85297293406325</v>
      </c>
      <c r="AP34" s="24">
        <f t="shared" si="34"/>
        <v>139.95179589759891</v>
      </c>
      <c r="AQ34" s="24">
        <f t="shared" si="35"/>
        <v>553.19554646174379</v>
      </c>
      <c r="AR34" s="25">
        <f t="shared" si="36"/>
        <v>765.83865726347847</v>
      </c>
      <c r="AS34" s="24">
        <f t="shared" si="37"/>
        <v>140.28485228727729</v>
      </c>
      <c r="AT34" s="24">
        <f t="shared" si="38"/>
        <v>553.90846280062908</v>
      </c>
      <c r="AU34" s="25">
        <f t="shared" si="39"/>
        <v>766.57702160334088</v>
      </c>
      <c r="AV34" s="24">
        <f t="shared" si="40"/>
        <v>140.5345879548953</v>
      </c>
      <c r="AW34" s="24">
        <f t="shared" si="41"/>
        <v>554.44249990178741</v>
      </c>
      <c r="AX34" s="25">
        <f t="shared" si="42"/>
        <v>767.13068589414502</v>
      </c>
      <c r="AY34" s="24">
        <f t="shared" si="43"/>
        <v>140.72199174307238</v>
      </c>
      <c r="AZ34" s="24">
        <f t="shared" si="44"/>
        <v>554.84294891714887</v>
      </c>
      <c r="BA34" s="25">
        <f t="shared" si="45"/>
        <v>767.54617007229194</v>
      </c>
      <c r="BB34" s="24">
        <f t="shared" si="46"/>
        <v>140.86270264521067</v>
      </c>
      <c r="BC34" s="24">
        <f t="shared" si="47"/>
        <v>555.14345634159474</v>
      </c>
      <c r="BD34" s="25">
        <f t="shared" si="48"/>
        <v>767.85813930220252</v>
      </c>
      <c r="BE34" s="24">
        <f t="shared" si="49"/>
        <v>140.96840049500966</v>
      </c>
      <c r="BF34" s="24">
        <f t="shared" si="50"/>
        <v>555.3690944638571</v>
      </c>
      <c r="BG34" s="25">
        <f t="shared" si="51"/>
        <v>768.09248459142952</v>
      </c>
      <c r="BH34" s="24">
        <f t="shared" si="52"/>
        <v>141.04782355453975</v>
      </c>
      <c r="BI34" s="24">
        <f t="shared" si="53"/>
        <v>555.53858948436721</v>
      </c>
      <c r="BJ34" s="25">
        <f t="shared" si="54"/>
        <v>768.26857727816116</v>
      </c>
      <c r="BK34" s="24">
        <f t="shared" si="55"/>
        <v>141.1075179905327</v>
      </c>
      <c r="BL34" s="24">
        <f t="shared" si="56"/>
        <v>555.66595211942467</v>
      </c>
      <c r="BM34" s="25">
        <f t="shared" si="57"/>
        <v>768.40092975846392</v>
      </c>
      <c r="BN34" s="24">
        <f t="shared" si="58"/>
        <v>141.1523926711545</v>
      </c>
      <c r="BO34" s="24">
        <f t="shared" si="59"/>
        <v>555.76167875612168</v>
      </c>
      <c r="BP34" s="25">
        <f t="shared" si="60"/>
        <v>768.50042499198582</v>
      </c>
      <c r="BQ34" s="24">
        <f t="shared" si="61"/>
        <v>141.18613144130222</v>
      </c>
      <c r="BR34" s="24">
        <f t="shared" si="62"/>
        <v>555.83364071747394</v>
      </c>
      <c r="BS34" s="49">
        <f t="shared" si="63"/>
        <v>768.57507168235998</v>
      </c>
      <c r="BT34" s="50">
        <f t="shared" si="64"/>
        <v>141.2135604158135</v>
      </c>
      <c r="BU34" s="50">
        <f t="shared" si="65"/>
        <v>555.88763046208419</v>
      </c>
      <c r="BV34" s="49"/>
      <c r="BW34" s="50">
        <f t="shared" si="66"/>
        <v>5.6412675323077153</v>
      </c>
      <c r="BX34" s="24"/>
      <c r="BY34" s="8"/>
      <c r="CD34" s="8"/>
      <c r="CE34" s="8"/>
      <c r="CF34" s="8"/>
      <c r="CG34" s="8"/>
    </row>
    <row r="35" spans="1:85" x14ac:dyDescent="0.15">
      <c r="A35" s="111">
        <v>1600</v>
      </c>
      <c r="B35" s="112">
        <v>215</v>
      </c>
      <c r="C35" s="111">
        <v>104</v>
      </c>
      <c r="D35" s="114">
        <f t="shared" si="67"/>
        <v>47</v>
      </c>
      <c r="E35" s="117">
        <f t="shared" si="68"/>
        <v>2.2127659574468086</v>
      </c>
      <c r="F35" s="110">
        <f t="shared" si="69"/>
        <v>57.002551539937535</v>
      </c>
      <c r="G35" s="110">
        <f t="shared" si="70"/>
        <v>10.018833770097061</v>
      </c>
      <c r="H35" s="24">
        <f t="shared" si="0"/>
        <v>106.87921906022501</v>
      </c>
      <c r="I35" s="24">
        <f t="shared" si="1"/>
        <v>44.120780939774981</v>
      </c>
      <c r="J35" s="24">
        <f t="shared" si="2"/>
        <v>0.26545438383231307</v>
      </c>
      <c r="K35" s="29">
        <f t="shared" si="3"/>
        <v>151</v>
      </c>
      <c r="L35" s="24">
        <f t="shared" si="4"/>
        <v>0.6887417218543046</v>
      </c>
      <c r="M35" s="24">
        <f t="shared" si="5"/>
        <v>0.34242268082220628</v>
      </c>
      <c r="N35" s="25">
        <f t="shared" si="6"/>
        <v>677.97187914866629</v>
      </c>
      <c r="O35" s="24">
        <f t="shared" si="7"/>
        <v>167.11632780983643</v>
      </c>
      <c r="P35" s="24">
        <f t="shared" ref="P35:P45" si="71">N35*L35</f>
        <v>466.94751941365092</v>
      </c>
      <c r="Q35" s="25">
        <f t="shared" si="9"/>
        <v>692.1257433967719</v>
      </c>
      <c r="R35" s="24">
        <f t="shared" si="10"/>
        <v>172.93096326923947</v>
      </c>
      <c r="S35" s="24">
        <f t="shared" si="11"/>
        <v>476.69587624678326</v>
      </c>
      <c r="T35" s="25">
        <f t="shared" si="12"/>
        <v>702.25482000331942</v>
      </c>
      <c r="U35" s="24">
        <f t="shared" si="13"/>
        <v>178.37734110316813</v>
      </c>
      <c r="V35" s="24">
        <f t="shared" si="14"/>
        <v>483.67219390957098</v>
      </c>
      <c r="W35" s="25">
        <f t="shared" si="15"/>
        <v>709.5472297442526</v>
      </c>
      <c r="X35" s="24">
        <f t="shared" si="16"/>
        <v>182.3529864972397</v>
      </c>
      <c r="Y35" s="24">
        <f t="shared" si="17"/>
        <v>488.69478075100841</v>
      </c>
      <c r="Z35" s="25">
        <f t="shared" si="18"/>
        <v>714.85776301968485</v>
      </c>
      <c r="AA35" s="24">
        <f t="shared" si="19"/>
        <v>185.27675497024603</v>
      </c>
      <c r="AB35" s="24">
        <f t="shared" si="20"/>
        <v>492.35236658309418</v>
      </c>
      <c r="AC35" s="25">
        <f t="shared" si="21"/>
        <v>718.75741431371932</v>
      </c>
      <c r="AD35" s="24">
        <f t="shared" si="22"/>
        <v>187.43907970273688</v>
      </c>
      <c r="AE35" s="24">
        <f t="shared" si="23"/>
        <v>495.03821912997887</v>
      </c>
      <c r="AF35" s="25">
        <f t="shared" si="24"/>
        <v>721.63861875687928</v>
      </c>
      <c r="AG35" s="24">
        <f t="shared" si="25"/>
        <v>189.04501850228124</v>
      </c>
      <c r="AH35" s="24">
        <f t="shared" si="26"/>
        <v>497.02262483917514</v>
      </c>
      <c r="AI35" s="25">
        <f t="shared" si="27"/>
        <v>723.77702040386953</v>
      </c>
      <c r="AJ35" s="24">
        <f t="shared" si="28"/>
        <v>190.24150742408199</v>
      </c>
      <c r="AK35" s="24">
        <f t="shared" si="29"/>
        <v>498.49543127153925</v>
      </c>
      <c r="AL35" s="25">
        <f t="shared" si="30"/>
        <v>725.36946715873023</v>
      </c>
      <c r="AM35" s="24">
        <f t="shared" si="31"/>
        <v>191.13505338979917</v>
      </c>
      <c r="AN35" s="24">
        <f t="shared" si="32"/>
        <v>499.59221579144332</v>
      </c>
      <c r="AO35" s="25">
        <f t="shared" si="33"/>
        <v>726.55832103804232</v>
      </c>
      <c r="AP35" s="24">
        <f t="shared" si="34"/>
        <v>191.80354630723048</v>
      </c>
      <c r="AQ35" s="24">
        <f t="shared" si="35"/>
        <v>500.41102905931388</v>
      </c>
      <c r="AR35" s="25">
        <f t="shared" si="36"/>
        <v>727.44753122233635</v>
      </c>
      <c r="AS35" s="24">
        <f t="shared" si="37"/>
        <v>192.30433673524254</v>
      </c>
      <c r="AT35" s="24">
        <f t="shared" si="38"/>
        <v>501.02346521273495</v>
      </c>
      <c r="AU35" s="25">
        <f t="shared" si="39"/>
        <v>728.11355252199473</v>
      </c>
      <c r="AV35" s="24">
        <f t="shared" si="40"/>
        <v>192.67987161802736</v>
      </c>
      <c r="AW35" s="24">
        <f t="shared" si="41"/>
        <v>501.48218186945331</v>
      </c>
      <c r="AX35" s="25">
        <f t="shared" si="42"/>
        <v>728.61292783695615</v>
      </c>
      <c r="AY35" s="24">
        <f t="shared" si="43"/>
        <v>192.96169134732875</v>
      </c>
      <c r="AZ35" s="24">
        <f t="shared" si="44"/>
        <v>501.82612248373135</v>
      </c>
      <c r="BA35" s="25">
        <f t="shared" si="45"/>
        <v>728.98764829827633</v>
      </c>
      <c r="BB35" s="24">
        <f t="shared" si="46"/>
        <v>193.17330228881193</v>
      </c>
      <c r="BC35" s="24">
        <f t="shared" si="47"/>
        <v>502.08420809947506</v>
      </c>
      <c r="BD35" s="25">
        <f t="shared" si="48"/>
        <v>729.26899636374594</v>
      </c>
      <c r="BE35" s="24">
        <f t="shared" si="49"/>
        <v>193.33226287694589</v>
      </c>
      <c r="BF35" s="24">
        <f t="shared" si="50"/>
        <v>502.27798425052697</v>
      </c>
      <c r="BG35" s="25">
        <f t="shared" si="51"/>
        <v>729.48033204147316</v>
      </c>
      <c r="BH35" s="24">
        <f t="shared" si="52"/>
        <v>193.4517110715795</v>
      </c>
      <c r="BI35" s="24">
        <f t="shared" si="53"/>
        <v>502.42353994909405</v>
      </c>
      <c r="BJ35" s="25">
        <f t="shared" si="54"/>
        <v>729.63913047298433</v>
      </c>
      <c r="BK35" s="24">
        <f t="shared" si="55"/>
        <v>193.54148992784829</v>
      </c>
      <c r="BL35" s="24">
        <f t="shared" si="56"/>
        <v>502.53291105424086</v>
      </c>
      <c r="BM35" s="25">
        <f t="shared" si="57"/>
        <v>729.75848205429679</v>
      </c>
      <c r="BN35" s="24">
        <f t="shared" si="58"/>
        <v>193.60898110616338</v>
      </c>
      <c r="BO35" s="24">
        <f t="shared" si="59"/>
        <v>502.61511346786</v>
      </c>
      <c r="BP35" s="25">
        <f t="shared" si="60"/>
        <v>729.8482025691851</v>
      </c>
      <c r="BQ35" s="24">
        <f t="shared" si="61"/>
        <v>193.65972443526204</v>
      </c>
      <c r="BR35" s="24">
        <f t="shared" si="62"/>
        <v>502.67690772976982</v>
      </c>
      <c r="BS35" s="49">
        <f t="shared" si="63"/>
        <v>729.91550637651983</v>
      </c>
      <c r="BT35" s="50">
        <f t="shared" si="64"/>
        <v>193.69544319900086</v>
      </c>
      <c r="BU35" s="50">
        <f t="shared" si="65"/>
        <v>502.72326266992093</v>
      </c>
      <c r="BV35" s="49"/>
      <c r="BW35" s="50">
        <f t="shared" si="66"/>
        <v>5.6895396059041818</v>
      </c>
      <c r="BX35" s="24"/>
      <c r="BY35" s="8"/>
      <c r="CD35" s="8"/>
      <c r="CE35" s="8"/>
      <c r="CF35" s="8"/>
      <c r="CG35" s="8"/>
    </row>
    <row r="36" spans="1:85" x14ac:dyDescent="0.15">
      <c r="A36" s="111">
        <v>1600</v>
      </c>
      <c r="B36" s="112">
        <v>107</v>
      </c>
      <c r="C36" s="111">
        <v>59</v>
      </c>
      <c r="D36" s="114">
        <f t="shared" si="67"/>
        <v>24</v>
      </c>
      <c r="E36" s="117">
        <f t="shared" si="68"/>
        <v>2.4583333333333335</v>
      </c>
      <c r="F36" s="110">
        <f t="shared" si="69"/>
        <v>63.297594587822587</v>
      </c>
      <c r="G36" s="110">
        <f t="shared" si="70"/>
        <v>15.324793315952657</v>
      </c>
      <c r="H36" s="24">
        <f t="shared" si="0"/>
        <v>58.748180013236265</v>
      </c>
      <c r="I36" s="24">
        <f t="shared" si="1"/>
        <v>24.251819986763731</v>
      </c>
      <c r="J36" s="24">
        <f t="shared" si="2"/>
        <v>3.6941942926850711E-3</v>
      </c>
      <c r="K36" s="29">
        <f t="shared" si="3"/>
        <v>83</v>
      </c>
      <c r="L36" s="24">
        <f t="shared" si="4"/>
        <v>0.71084337349397586</v>
      </c>
      <c r="M36" s="24">
        <f t="shared" si="5"/>
        <v>0.38535088136401707</v>
      </c>
      <c r="N36" s="25">
        <f t="shared" si="6"/>
        <v>385.13018063294953</v>
      </c>
      <c r="O36" s="24">
        <f t="shared" si="7"/>
        <v>1.3653352894374413</v>
      </c>
      <c r="P36" s="24">
        <f t="shared" si="71"/>
        <v>273.76723683547016</v>
      </c>
      <c r="Q36" s="25">
        <f t="shared" si="9"/>
        <v>389.60837532109792</v>
      </c>
      <c r="R36" s="24">
        <f t="shared" si="10"/>
        <v>1.4603933551292516</v>
      </c>
      <c r="S36" s="24">
        <f t="shared" si="11"/>
        <v>276.95053185475632</v>
      </c>
      <c r="T36" s="25">
        <f t="shared" si="12"/>
        <v>392.78654845495879</v>
      </c>
      <c r="U36" s="24">
        <f t="shared" si="13"/>
        <v>1.4666183979628935</v>
      </c>
      <c r="V36" s="24">
        <f t="shared" si="14"/>
        <v>279.20971516677793</v>
      </c>
      <c r="W36" s="25">
        <f t="shared" si="15"/>
        <v>395.04970152011703</v>
      </c>
      <c r="X36" s="24">
        <f t="shared" si="16"/>
        <v>1.470946723130792</v>
      </c>
      <c r="Y36" s="24">
        <f t="shared" si="17"/>
        <v>280.81846252634824</v>
      </c>
      <c r="Z36" s="25">
        <f t="shared" si="18"/>
        <v>396.68482319377841</v>
      </c>
      <c r="AA36" s="24">
        <f t="shared" si="19"/>
        <v>1.4740274528858754</v>
      </c>
      <c r="AB36" s="24">
        <f t="shared" si="20"/>
        <v>281.9807779329268</v>
      </c>
      <c r="AC36" s="25">
        <f t="shared" si="21"/>
        <v>397.87864384334773</v>
      </c>
      <c r="AD36" s="24">
        <f t="shared" si="22"/>
        <v>1.4762530411608121</v>
      </c>
      <c r="AE36" s="24">
        <f t="shared" si="23"/>
        <v>282.82939743081346</v>
      </c>
      <c r="AF36" s="25">
        <f t="shared" si="24"/>
        <v>398.75696320887226</v>
      </c>
      <c r="AG36" s="24">
        <f t="shared" si="25"/>
        <v>1.4778780604062933</v>
      </c>
      <c r="AH36" s="24">
        <f t="shared" si="26"/>
        <v>283.45374493160796</v>
      </c>
      <c r="AI36" s="25">
        <f t="shared" si="27"/>
        <v>399.40681131601752</v>
      </c>
      <c r="AJ36" s="24">
        <f t="shared" si="28"/>
        <v>1.4790737619257399</v>
      </c>
      <c r="AK36" s="24">
        <f t="shared" si="29"/>
        <v>283.91568515234979</v>
      </c>
      <c r="AL36" s="25">
        <f t="shared" si="30"/>
        <v>399.88962678292978</v>
      </c>
      <c r="AM36" s="24">
        <f t="shared" si="31"/>
        <v>1.4799585483216771</v>
      </c>
      <c r="AN36" s="24">
        <f t="shared" si="32"/>
        <v>284.25889132762478</v>
      </c>
      <c r="AO36" s="25">
        <f t="shared" si="33"/>
        <v>400.24945506651255</v>
      </c>
      <c r="AP36" s="24">
        <f t="shared" si="34"/>
        <v>1.480615994322606</v>
      </c>
      <c r="AQ36" s="24">
        <f t="shared" si="35"/>
        <v>284.51467287860527</v>
      </c>
      <c r="AR36" s="25">
        <f t="shared" si="36"/>
        <v>400.51824421204947</v>
      </c>
      <c r="AS36" s="24">
        <f t="shared" si="37"/>
        <v>1.48110602039043</v>
      </c>
      <c r="AT36" s="24">
        <f t="shared" si="38"/>
        <v>284.70573986157734</v>
      </c>
      <c r="AU36" s="25">
        <f t="shared" si="39"/>
        <v>400.71937423738217</v>
      </c>
      <c r="AV36" s="24">
        <f t="shared" si="40"/>
        <v>1.4814720975101998</v>
      </c>
      <c r="AW36" s="24">
        <f t="shared" si="41"/>
        <v>284.84871180729573</v>
      </c>
      <c r="AX36" s="25">
        <f t="shared" si="42"/>
        <v>400.87007046778928</v>
      </c>
      <c r="AY36" s="24">
        <f t="shared" si="43"/>
        <v>1.4817460450121958</v>
      </c>
      <c r="AZ36" s="24">
        <f t="shared" si="44"/>
        <v>284.95583322409118</v>
      </c>
      <c r="BA36" s="25">
        <f t="shared" si="45"/>
        <v>400.98308848514944</v>
      </c>
      <c r="BB36" s="24">
        <f t="shared" si="46"/>
        <v>1.4819513105620075</v>
      </c>
      <c r="BC36" s="24">
        <f t="shared" si="47"/>
        <v>285.03617133281705</v>
      </c>
      <c r="BD36" s="25">
        <f t="shared" si="48"/>
        <v>401.06791035397003</v>
      </c>
      <c r="BE36" s="24">
        <f t="shared" si="49"/>
        <v>1.4821052604601241</v>
      </c>
      <c r="BF36" s="24">
        <f t="shared" si="50"/>
        <v>285.09646639619552</v>
      </c>
      <c r="BG36" s="25">
        <f t="shared" si="51"/>
        <v>401.13160520092401</v>
      </c>
      <c r="BH36" s="24">
        <f t="shared" si="52"/>
        <v>1.4822208060691948</v>
      </c>
      <c r="BI36" s="24">
        <f t="shared" si="53"/>
        <v>285.14174345607847</v>
      </c>
      <c r="BJ36" s="25">
        <f t="shared" si="54"/>
        <v>401.17945479005351</v>
      </c>
      <c r="BK36" s="24">
        <f t="shared" si="55"/>
        <v>1.4823075742578566</v>
      </c>
      <c r="BL36" s="24">
        <f t="shared" si="56"/>
        <v>285.17575701943559</v>
      </c>
      <c r="BM36" s="25">
        <f t="shared" si="57"/>
        <v>401.21541195456234</v>
      </c>
      <c r="BN36" s="24">
        <f t="shared" si="58"/>
        <v>1.4823727584876605</v>
      </c>
      <c r="BO36" s="24">
        <f t="shared" si="59"/>
        <v>285.20131693155633</v>
      </c>
      <c r="BP36" s="25">
        <f t="shared" si="60"/>
        <v>401.24243864323847</v>
      </c>
      <c r="BQ36" s="24">
        <f t="shared" si="61"/>
        <v>1.4824217426751085</v>
      </c>
      <c r="BR36" s="24">
        <f t="shared" si="62"/>
        <v>285.22052867410923</v>
      </c>
      <c r="BS36" s="49">
        <f t="shared" si="63"/>
        <v>401.26266844217753</v>
      </c>
      <c r="BT36" s="50">
        <f t="shared" si="64"/>
        <v>1.4825712276094145</v>
      </c>
      <c r="BU36" s="50">
        <f t="shared" si="65"/>
        <v>285.23490889263218</v>
      </c>
      <c r="BV36" s="49"/>
      <c r="BW36" s="50">
        <f t="shared" si="66"/>
        <v>4.1304044552386658</v>
      </c>
      <c r="BX36" s="24"/>
      <c r="BY36" s="8"/>
      <c r="CD36" s="8"/>
      <c r="CE36" s="8"/>
      <c r="CF36" s="8"/>
      <c r="CG36" s="8"/>
    </row>
    <row r="37" spans="1:85" x14ac:dyDescent="0.15">
      <c r="A37" s="111">
        <v>1600</v>
      </c>
      <c r="B37" s="112">
        <v>198</v>
      </c>
      <c r="C37" s="111">
        <v>102</v>
      </c>
      <c r="D37" s="114">
        <f t="shared" si="67"/>
        <v>44</v>
      </c>
      <c r="E37" s="117">
        <f t="shared" si="68"/>
        <v>2.3181818181818183</v>
      </c>
      <c r="F37" s="110">
        <f t="shared" si="69"/>
        <v>59.705607296796352</v>
      </c>
      <c r="G37" s="110">
        <f t="shared" si="70"/>
        <v>10.768745762671868</v>
      </c>
      <c r="H37" s="24">
        <f t="shared" si="0"/>
        <v>103.34017207147585</v>
      </c>
      <c r="I37" s="24">
        <f t="shared" si="1"/>
        <v>42.659827928524159</v>
      </c>
      <c r="J37" s="24">
        <f t="shared" si="2"/>
        <v>5.9482019154047813E-2</v>
      </c>
      <c r="K37" s="29">
        <f t="shared" si="3"/>
        <v>146</v>
      </c>
      <c r="L37" s="24">
        <f t="shared" si="4"/>
        <v>0.69863013698630139</v>
      </c>
      <c r="M37" s="24">
        <f t="shared" si="5"/>
        <v>0.36236385441084151</v>
      </c>
      <c r="N37" s="25">
        <f t="shared" si="6"/>
        <v>657.08687879344632</v>
      </c>
      <c r="O37" s="24">
        <f t="shared" si="7"/>
        <v>36.379858435748332</v>
      </c>
      <c r="P37" s="24">
        <f t="shared" si="71"/>
        <v>459.06069614336661</v>
      </c>
      <c r="Q37" s="25">
        <f t="shared" si="9"/>
        <v>670.36762238781921</v>
      </c>
      <c r="R37" s="24">
        <f t="shared" si="10"/>
        <v>37.308229232168038</v>
      </c>
      <c r="S37" s="24">
        <f t="shared" si="11"/>
        <v>468.33902385998329</v>
      </c>
      <c r="T37" s="25">
        <f t="shared" si="12"/>
        <v>679.86410493777714</v>
      </c>
      <c r="U37" s="24">
        <f t="shared" si="13"/>
        <v>38.529118809252779</v>
      </c>
      <c r="V37" s="24">
        <f t="shared" si="14"/>
        <v>474.97355276474843</v>
      </c>
      <c r="W37" s="25">
        <f t="shared" si="15"/>
        <v>686.69565537297706</v>
      </c>
      <c r="X37" s="24">
        <f t="shared" si="16"/>
        <v>39.420569499113235</v>
      </c>
      <c r="Y37" s="24">
        <f t="shared" si="17"/>
        <v>479.74627978112096</v>
      </c>
      <c r="Z37" s="25">
        <f t="shared" si="18"/>
        <v>691.6677232397999</v>
      </c>
      <c r="AA37" s="24">
        <f t="shared" si="19"/>
        <v>40.076245648695469</v>
      </c>
      <c r="AB37" s="24">
        <f t="shared" si="20"/>
        <v>483.21991623602457</v>
      </c>
      <c r="AC37" s="25">
        <f t="shared" si="21"/>
        <v>695.3173003216433</v>
      </c>
      <c r="AD37" s="24">
        <f t="shared" si="22"/>
        <v>40.561200125286682</v>
      </c>
      <c r="AE37" s="24">
        <f t="shared" si="23"/>
        <v>485.76962077265495</v>
      </c>
      <c r="AF37" s="25">
        <f t="shared" si="24"/>
        <v>698.01290848096926</v>
      </c>
      <c r="AG37" s="24">
        <f t="shared" si="25"/>
        <v>40.921388482520982</v>
      </c>
      <c r="AH37" s="24">
        <f t="shared" si="26"/>
        <v>487.6528538702662</v>
      </c>
      <c r="AI37" s="25">
        <f t="shared" si="27"/>
        <v>700.01310526586826</v>
      </c>
      <c r="AJ37" s="24">
        <f t="shared" si="28"/>
        <v>41.189751325459873</v>
      </c>
      <c r="AK37" s="24">
        <f t="shared" si="29"/>
        <v>489.05025162409976</v>
      </c>
      <c r="AL37" s="25">
        <f t="shared" si="30"/>
        <v>701.5023792729346</v>
      </c>
      <c r="AM37" s="24">
        <f t="shared" si="31"/>
        <v>41.390170399921629</v>
      </c>
      <c r="AN37" s="24">
        <f t="shared" si="32"/>
        <v>490.09070332766663</v>
      </c>
      <c r="AO37" s="25">
        <f t="shared" si="33"/>
        <v>702.61406796735503</v>
      </c>
      <c r="AP37" s="24">
        <f t="shared" si="34"/>
        <v>41.540112844798053</v>
      </c>
      <c r="AQ37" s="24">
        <f t="shared" si="35"/>
        <v>490.86736255253572</v>
      </c>
      <c r="AR37" s="25">
        <f t="shared" si="36"/>
        <v>703.44548336176058</v>
      </c>
      <c r="AS37" s="24">
        <f t="shared" si="37"/>
        <v>41.652440740434422</v>
      </c>
      <c r="AT37" s="24">
        <f t="shared" si="38"/>
        <v>491.44821440342179</v>
      </c>
      <c r="AU37" s="25">
        <f t="shared" si="39"/>
        <v>704.0681721000916</v>
      </c>
      <c r="AV37" s="24">
        <f t="shared" si="40"/>
        <v>41.736674181253044</v>
      </c>
      <c r="AW37" s="24">
        <f t="shared" si="41"/>
        <v>491.8832435219818</v>
      </c>
      <c r="AX37" s="25">
        <f t="shared" si="42"/>
        <v>704.53503238334622</v>
      </c>
      <c r="AY37" s="24">
        <f t="shared" si="43"/>
        <v>41.799887344288997</v>
      </c>
      <c r="AZ37" s="24">
        <f t="shared" si="44"/>
        <v>492.20940618562543</v>
      </c>
      <c r="BA37" s="25">
        <f t="shared" si="45"/>
        <v>704.8853403308101</v>
      </c>
      <c r="BB37" s="24">
        <f t="shared" si="46"/>
        <v>41.847352573844681</v>
      </c>
      <c r="BC37" s="24">
        <f t="shared" si="47"/>
        <v>492.45414187494953</v>
      </c>
      <c r="BD37" s="25">
        <f t="shared" si="48"/>
        <v>705.14835111046818</v>
      </c>
      <c r="BE37" s="24">
        <f t="shared" si="49"/>
        <v>41.883008185752182</v>
      </c>
      <c r="BF37" s="24">
        <f t="shared" si="50"/>
        <v>492.63788913197095</v>
      </c>
      <c r="BG37" s="25">
        <f t="shared" si="51"/>
        <v>705.34590823609267</v>
      </c>
      <c r="BH37" s="24">
        <f t="shared" si="52"/>
        <v>41.909801024388059</v>
      </c>
      <c r="BI37" s="24">
        <f t="shared" si="53"/>
        <v>492.77590849370858</v>
      </c>
      <c r="BJ37" s="25">
        <f t="shared" si="54"/>
        <v>705.49435091075384</v>
      </c>
      <c r="BK37" s="24">
        <f t="shared" si="55"/>
        <v>41.929938903289901</v>
      </c>
      <c r="BL37" s="24">
        <f t="shared" si="56"/>
        <v>492.87961501984171</v>
      </c>
      <c r="BM37" s="25">
        <f t="shared" si="57"/>
        <v>705.60591777905154</v>
      </c>
      <c r="BN37" s="24">
        <f t="shared" si="58"/>
        <v>41.945077549848563</v>
      </c>
      <c r="BO37" s="24">
        <f t="shared" si="59"/>
        <v>492.95755899632371</v>
      </c>
      <c r="BP37" s="25">
        <f t="shared" si="60"/>
        <v>705.68978547079371</v>
      </c>
      <c r="BQ37" s="24">
        <f t="shared" si="61"/>
        <v>41.956459568146528</v>
      </c>
      <c r="BR37" s="24">
        <f t="shared" si="62"/>
        <v>493.01615149329427</v>
      </c>
      <c r="BS37" s="49">
        <f t="shared" si="63"/>
        <v>705.75269286701587</v>
      </c>
      <c r="BT37" s="50">
        <f t="shared" si="64"/>
        <v>41.963940161805105</v>
      </c>
      <c r="BU37" s="50">
        <f t="shared" si="65"/>
        <v>493.0601004961344</v>
      </c>
      <c r="BV37" s="49"/>
      <c r="BW37" s="50">
        <f t="shared" si="66"/>
        <v>5.5443418029011582</v>
      </c>
      <c r="BX37" s="24"/>
      <c r="BY37" s="8"/>
      <c r="CD37" s="8"/>
      <c r="CE37" s="8"/>
      <c r="CF37" s="8"/>
      <c r="CG37" s="8"/>
    </row>
    <row r="38" spans="1:85" x14ac:dyDescent="0.15">
      <c r="A38" s="111">
        <v>1600</v>
      </c>
      <c r="B38" s="112">
        <v>178</v>
      </c>
      <c r="C38" s="111">
        <v>80</v>
      </c>
      <c r="D38" s="114">
        <f t="shared" si="67"/>
        <v>39</v>
      </c>
      <c r="E38" s="117">
        <f t="shared" si="68"/>
        <v>2.0512820512820511</v>
      </c>
      <c r="F38" s="110">
        <f t="shared" si="69"/>
        <v>52.859609152399265</v>
      </c>
      <c r="G38" s="110">
        <f t="shared" si="70"/>
        <v>10.323337627545799</v>
      </c>
      <c r="H38" s="24">
        <f t="shared" si="0"/>
        <v>84.229318332230307</v>
      </c>
      <c r="I38" s="24">
        <f t="shared" si="1"/>
        <v>34.770681667769686</v>
      </c>
      <c r="J38" s="24">
        <f t="shared" si="2"/>
        <v>0.72679381054352099</v>
      </c>
      <c r="K38" s="29">
        <f t="shared" si="3"/>
        <v>119</v>
      </c>
      <c r="L38" s="24">
        <f t="shared" si="4"/>
        <v>0.67226890756302526</v>
      </c>
      <c r="M38" s="24">
        <f t="shared" si="5"/>
        <v>0.30919878474140833</v>
      </c>
      <c r="N38" s="25">
        <f t="shared" si="6"/>
        <v>542.5628525403115</v>
      </c>
      <c r="O38" s="24">
        <f t="shared" si="7"/>
        <v>371.83215053792435</v>
      </c>
      <c r="P38" s="24">
        <f t="shared" si="71"/>
        <v>364.74813616155399</v>
      </c>
      <c r="Q38" s="25">
        <f t="shared" si="9"/>
        <v>551.55806683079481</v>
      </c>
      <c r="R38" s="24">
        <f t="shared" si="10"/>
        <v>382.79952483037363</v>
      </c>
      <c r="S38" s="24">
        <f t="shared" si="11"/>
        <v>370.7953390459125</v>
      </c>
      <c r="T38" s="25">
        <f t="shared" si="12"/>
        <v>557.9642119501126</v>
      </c>
      <c r="U38" s="24">
        <f t="shared" si="13"/>
        <v>392.15307381711557</v>
      </c>
      <c r="V38" s="24">
        <f t="shared" si="14"/>
        <v>375.1019912269665</v>
      </c>
      <c r="W38" s="25">
        <f t="shared" si="15"/>
        <v>562.55277102853256</v>
      </c>
      <c r="X38" s="24">
        <f t="shared" si="16"/>
        <v>398.92482171327543</v>
      </c>
      <c r="Y38" s="24">
        <f t="shared" si="17"/>
        <v>378.18673682590429</v>
      </c>
      <c r="Z38" s="25">
        <f t="shared" si="18"/>
        <v>565.88196915760534</v>
      </c>
      <c r="AA38" s="24">
        <f t="shared" si="19"/>
        <v>403.87549736437762</v>
      </c>
      <c r="AB38" s="24">
        <f t="shared" si="20"/>
        <v>380.42485321519689</v>
      </c>
      <c r="AC38" s="25">
        <f t="shared" si="21"/>
        <v>568.32010079871941</v>
      </c>
      <c r="AD38" s="24">
        <f t="shared" si="22"/>
        <v>407.52109251996785</v>
      </c>
      <c r="AE38" s="24">
        <f t="shared" si="23"/>
        <v>382.06393331006348</v>
      </c>
      <c r="AF38" s="25">
        <f t="shared" si="24"/>
        <v>570.11791570105413</v>
      </c>
      <c r="AG38" s="24">
        <f t="shared" si="25"/>
        <v>410.22007280811243</v>
      </c>
      <c r="AH38" s="24">
        <f t="shared" si="26"/>
        <v>383.2725483704566</v>
      </c>
      <c r="AI38" s="25">
        <f t="shared" si="27"/>
        <v>571.45028235708844</v>
      </c>
      <c r="AJ38" s="24">
        <f t="shared" si="28"/>
        <v>412.22621530638094</v>
      </c>
      <c r="AK38" s="24">
        <f t="shared" si="29"/>
        <v>384.16825704678217</v>
      </c>
      <c r="AL38" s="25">
        <f t="shared" si="30"/>
        <v>572.44140334497683</v>
      </c>
      <c r="AM38" s="24">
        <f t="shared" si="31"/>
        <v>413.72181201079934</v>
      </c>
      <c r="AN38" s="24">
        <f t="shared" si="32"/>
        <v>384.83455687057267</v>
      </c>
      <c r="AO38" s="25">
        <f t="shared" si="33"/>
        <v>573.18073277005567</v>
      </c>
      <c r="AP38" s="24">
        <f t="shared" si="34"/>
        <v>414.83927121090449</v>
      </c>
      <c r="AQ38" s="24">
        <f t="shared" si="35"/>
        <v>385.33158505549966</v>
      </c>
      <c r="AR38" s="25">
        <f t="shared" si="36"/>
        <v>573.73338363656751</v>
      </c>
      <c r="AS38" s="24">
        <f t="shared" si="37"/>
        <v>415.67558777384062</v>
      </c>
      <c r="AT38" s="24">
        <f t="shared" si="38"/>
        <v>385.70311504979333</v>
      </c>
      <c r="AU38" s="25">
        <f t="shared" si="39"/>
        <v>574.14713334815303</v>
      </c>
      <c r="AV38" s="24">
        <f t="shared" si="40"/>
        <v>416.30227470988899</v>
      </c>
      <c r="AW38" s="24">
        <f t="shared" si="41"/>
        <v>385.98126611640544</v>
      </c>
      <c r="AX38" s="25">
        <f t="shared" si="42"/>
        <v>574.4572529262939</v>
      </c>
      <c r="AY38" s="24">
        <f t="shared" si="43"/>
        <v>416.77231631471926</v>
      </c>
      <c r="AZ38" s="24">
        <f t="shared" si="44"/>
        <v>386.18974986641609</v>
      </c>
      <c r="BA38" s="25">
        <f t="shared" si="45"/>
        <v>574.68990071477583</v>
      </c>
      <c r="BB38" s="24">
        <f t="shared" si="46"/>
        <v>417.12511460793263</v>
      </c>
      <c r="BC38" s="24">
        <f t="shared" si="47"/>
        <v>386.34615174102578</v>
      </c>
      <c r="BD38" s="25">
        <f t="shared" si="48"/>
        <v>574.86454422633426</v>
      </c>
      <c r="BE38" s="24">
        <f t="shared" si="49"/>
        <v>417.39005326437797</v>
      </c>
      <c r="BF38" s="24">
        <f t="shared" si="50"/>
        <v>386.46355914375414</v>
      </c>
      <c r="BG38" s="25">
        <f t="shared" si="51"/>
        <v>574.99570954508408</v>
      </c>
      <c r="BH38" s="24">
        <f t="shared" si="52"/>
        <v>417.58909125578452</v>
      </c>
      <c r="BI38" s="24">
        <f t="shared" si="53"/>
        <v>386.55173750930027</v>
      </c>
      <c r="BJ38" s="25">
        <f t="shared" si="54"/>
        <v>575.09425703980196</v>
      </c>
      <c r="BK38" s="24">
        <f t="shared" si="55"/>
        <v>417.73866512654786</v>
      </c>
      <c r="BL38" s="24">
        <f t="shared" si="56"/>
        <v>386.6179879259173</v>
      </c>
      <c r="BM38" s="25">
        <f t="shared" si="57"/>
        <v>575.16831851790482</v>
      </c>
      <c r="BN38" s="24">
        <f t="shared" si="58"/>
        <v>417.85109261892268</v>
      </c>
      <c r="BO38" s="24">
        <f t="shared" si="59"/>
        <v>386.66777715489405</v>
      </c>
      <c r="BP38" s="25">
        <f t="shared" si="60"/>
        <v>575.22398958062047</v>
      </c>
      <c r="BQ38" s="24">
        <f t="shared" si="61"/>
        <v>417.93561315967332</v>
      </c>
      <c r="BR38" s="24">
        <f t="shared" si="62"/>
        <v>386.70520307940876</v>
      </c>
      <c r="BS38" s="49">
        <f t="shared" si="63"/>
        <v>575.26572076588093</v>
      </c>
      <c r="BT38" s="50">
        <f t="shared" si="64"/>
        <v>417.9962559056857</v>
      </c>
      <c r="BU38" s="50">
        <f t="shared" si="65"/>
        <v>386.73325765773512</v>
      </c>
      <c r="BV38" s="49"/>
      <c r="BW38" s="50">
        <f t="shared" si="66"/>
        <v>5.1203991441056607</v>
      </c>
      <c r="BX38" s="24"/>
      <c r="BY38" s="8"/>
      <c r="CD38" s="8"/>
      <c r="CE38" s="8"/>
      <c r="CF38" s="8"/>
      <c r="CG38" s="8"/>
    </row>
    <row r="39" spans="1:85" x14ac:dyDescent="0.15">
      <c r="A39" s="111">
        <v>1600</v>
      </c>
      <c r="B39" s="112">
        <v>190</v>
      </c>
      <c r="C39" s="111">
        <v>111</v>
      </c>
      <c r="D39" s="114">
        <f t="shared" si="67"/>
        <v>42</v>
      </c>
      <c r="E39" s="117">
        <f t="shared" si="68"/>
        <v>2.6428571428571428</v>
      </c>
      <c r="F39" s="110">
        <f t="shared" si="69"/>
        <v>68.02376313274199</v>
      </c>
      <c r="G39" s="110">
        <f t="shared" si="70"/>
        <v>12.3231074312333</v>
      </c>
      <c r="H39" s="24">
        <f t="shared" si="0"/>
        <v>108.29483785572468</v>
      </c>
      <c r="I39" s="24">
        <f t="shared" si="1"/>
        <v>44.705162144275313</v>
      </c>
      <c r="J39" s="24">
        <f t="shared" si="2"/>
        <v>0.2312664339123105</v>
      </c>
      <c r="K39" s="29">
        <f t="shared" si="3"/>
        <v>153</v>
      </c>
      <c r="L39" s="24">
        <f t="shared" si="4"/>
        <v>0.72549019607843135</v>
      </c>
      <c r="M39" s="24">
        <f t="shared" si="5"/>
        <v>0.41888593733386792</v>
      </c>
      <c r="N39" s="25">
        <f t="shared" si="6"/>
        <v>686.29806077033663</v>
      </c>
      <c r="O39" s="24">
        <f t="shared" si="7"/>
        <v>147.2411783858179</v>
      </c>
      <c r="P39" s="24">
        <f t="shared" si="71"/>
        <v>497.90251467651871</v>
      </c>
      <c r="Q39" s="25">
        <f t="shared" si="9"/>
        <v>700.80792322562149</v>
      </c>
      <c r="R39" s="24">
        <f t="shared" si="10"/>
        <v>154.71229044310564</v>
      </c>
      <c r="S39" s="24">
        <f t="shared" si="11"/>
        <v>508.4292776342744</v>
      </c>
      <c r="T39" s="25">
        <f t="shared" si="12"/>
        <v>711.19520221254902</v>
      </c>
      <c r="U39" s="24">
        <f t="shared" si="13"/>
        <v>158.99969990844554</v>
      </c>
      <c r="V39" s="24">
        <f t="shared" si="14"/>
        <v>515.96514670322188</v>
      </c>
      <c r="W39" s="25">
        <f t="shared" si="15"/>
        <v>718.67587455133344</v>
      </c>
      <c r="X39" s="24">
        <f t="shared" si="16"/>
        <v>162.12153283363855</v>
      </c>
      <c r="Y39" s="24">
        <f t="shared" si="17"/>
        <v>521.39230114508507</v>
      </c>
      <c r="Z39" s="25">
        <f t="shared" si="18"/>
        <v>724.12475516335326</v>
      </c>
      <c r="AA39" s="24">
        <f t="shared" si="19"/>
        <v>164.41358897620989</v>
      </c>
      <c r="AB39" s="24">
        <f t="shared" si="20"/>
        <v>525.3454106087072</v>
      </c>
      <c r="AC39" s="25">
        <f t="shared" si="21"/>
        <v>728.12666886791885</v>
      </c>
      <c r="AD39" s="24">
        <f t="shared" si="22"/>
        <v>166.10672971140247</v>
      </c>
      <c r="AE39" s="24">
        <f t="shared" si="23"/>
        <v>528.24875976692147</v>
      </c>
      <c r="AF39" s="25">
        <f t="shared" si="24"/>
        <v>731.08379340149759</v>
      </c>
      <c r="AG39" s="24">
        <f t="shared" si="25"/>
        <v>167.36314729606516</v>
      </c>
      <c r="AH39" s="24">
        <f t="shared" si="26"/>
        <v>530.39412462461587</v>
      </c>
      <c r="AI39" s="25">
        <f t="shared" si="27"/>
        <v>733.27874270819245</v>
      </c>
      <c r="AJ39" s="24">
        <f t="shared" si="28"/>
        <v>168.29865312696651</v>
      </c>
      <c r="AK39" s="24">
        <f t="shared" si="29"/>
        <v>531.98653882751216</v>
      </c>
      <c r="AL39" s="25">
        <f t="shared" si="30"/>
        <v>734.91341094898382</v>
      </c>
      <c r="AM39" s="24">
        <f t="shared" si="31"/>
        <v>168.99697978482035</v>
      </c>
      <c r="AN39" s="24">
        <f t="shared" si="32"/>
        <v>533.17247461004706</v>
      </c>
      <c r="AO39" s="25">
        <f t="shared" si="33"/>
        <v>736.13384739848379</v>
      </c>
      <c r="AP39" s="24">
        <f t="shared" si="34"/>
        <v>169.51924815960555</v>
      </c>
      <c r="AQ39" s="24">
        <f t="shared" si="35"/>
        <v>534.05788928909612</v>
      </c>
      <c r="AR39" s="25">
        <f t="shared" si="36"/>
        <v>737.04671447863461</v>
      </c>
      <c r="AS39" s="24">
        <f t="shared" si="37"/>
        <v>169.91040012173963</v>
      </c>
      <c r="AT39" s="24">
        <f t="shared" si="38"/>
        <v>534.72016540606819</v>
      </c>
      <c r="AU39" s="25">
        <f t="shared" si="39"/>
        <v>737.73047422592253</v>
      </c>
      <c r="AV39" s="24">
        <f t="shared" si="40"/>
        <v>170.20366483434353</v>
      </c>
      <c r="AW39" s="24">
        <f t="shared" si="41"/>
        <v>535.21622639919872</v>
      </c>
      <c r="AX39" s="25">
        <f t="shared" si="42"/>
        <v>738.24316050601817</v>
      </c>
      <c r="AY39" s="24">
        <f t="shared" si="43"/>
        <v>170.42371476416201</v>
      </c>
      <c r="AZ39" s="24">
        <f t="shared" si="44"/>
        <v>535.58817526907194</v>
      </c>
      <c r="BA39" s="25">
        <f t="shared" si="45"/>
        <v>738.62787534953634</v>
      </c>
      <c r="BB39" s="24">
        <f t="shared" si="46"/>
        <v>170.58892742635328</v>
      </c>
      <c r="BC39" s="24">
        <f t="shared" si="47"/>
        <v>535.86728211633022</v>
      </c>
      <c r="BD39" s="25">
        <f t="shared" si="48"/>
        <v>738.91673085863408</v>
      </c>
      <c r="BE39" s="24">
        <f t="shared" si="49"/>
        <v>170.71302441641652</v>
      </c>
      <c r="BF39" s="24">
        <f t="shared" si="50"/>
        <v>536.07684395626393</v>
      </c>
      <c r="BG39" s="25">
        <f t="shared" si="51"/>
        <v>739.13370772734322</v>
      </c>
      <c r="BH39" s="24">
        <f t="shared" si="52"/>
        <v>170.80626958110122</v>
      </c>
      <c r="BI39" s="24">
        <f t="shared" si="53"/>
        <v>536.23425854728816</v>
      </c>
      <c r="BJ39" s="25">
        <f t="shared" si="54"/>
        <v>739.2967460696899</v>
      </c>
      <c r="BK39" s="24">
        <f t="shared" si="55"/>
        <v>170.87635085674813</v>
      </c>
      <c r="BL39" s="24">
        <f t="shared" si="56"/>
        <v>536.35254126624557</v>
      </c>
      <c r="BM39" s="25">
        <f t="shared" si="57"/>
        <v>739.41928495319087</v>
      </c>
      <c r="BN39" s="24">
        <f t="shared" si="58"/>
        <v>170.9290326835258</v>
      </c>
      <c r="BO39" s="24">
        <f t="shared" si="59"/>
        <v>536.44144202486393</v>
      </c>
      <c r="BP39" s="25">
        <f t="shared" si="60"/>
        <v>739.51140181869687</v>
      </c>
      <c r="BQ39" s="24">
        <f t="shared" si="61"/>
        <v>170.9686406157827</v>
      </c>
      <c r="BR39" s="24">
        <f t="shared" si="62"/>
        <v>536.508271907682</v>
      </c>
      <c r="BS39" s="49">
        <f t="shared" si="63"/>
        <v>739.58050573726689</v>
      </c>
      <c r="BT39" s="50">
        <f t="shared" si="64"/>
        <v>171.00059456537718</v>
      </c>
      <c r="BU39" s="50">
        <f t="shared" si="65"/>
        <v>536.55840612311522</v>
      </c>
      <c r="BV39" s="49"/>
      <c r="BW39" s="50">
        <f t="shared" si="66"/>
        <v>5.520017050272048</v>
      </c>
      <c r="BX39" s="24"/>
      <c r="BY39" s="8"/>
      <c r="CD39" s="8"/>
      <c r="CE39" s="8"/>
      <c r="CF39" s="8"/>
      <c r="CG39" s="8"/>
    </row>
    <row r="40" spans="1:85" x14ac:dyDescent="0.15">
      <c r="A40" s="111">
        <v>1600</v>
      </c>
      <c r="B40" s="112">
        <v>226</v>
      </c>
      <c r="C40" s="111">
        <v>131</v>
      </c>
      <c r="D40" s="114">
        <f t="shared" si="67"/>
        <v>50</v>
      </c>
      <c r="E40" s="117">
        <f t="shared" si="68"/>
        <v>2.62</v>
      </c>
      <c r="F40" s="110">
        <f t="shared" si="69"/>
        <v>67.438516048437521</v>
      </c>
      <c r="G40" s="110">
        <f t="shared" si="70"/>
        <v>11.210542842360223</v>
      </c>
      <c r="H40" s="24">
        <f t="shared" si="0"/>
        <v>128.11350099272005</v>
      </c>
      <c r="I40" s="24">
        <f t="shared" si="1"/>
        <v>52.886499007279944</v>
      </c>
      <c r="J40" s="24">
        <f t="shared" si="2"/>
        <v>0.22257771619648523</v>
      </c>
      <c r="K40" s="29">
        <f t="shared" si="3"/>
        <v>181</v>
      </c>
      <c r="L40" s="24">
        <f t="shared" si="4"/>
        <v>0.72375690607734811</v>
      </c>
      <c r="M40" s="24">
        <f t="shared" si="5"/>
        <v>0.41563437470711528</v>
      </c>
      <c r="N40" s="25">
        <f t="shared" si="6"/>
        <v>801.22291735236274</v>
      </c>
      <c r="O40" s="24">
        <f t="shared" si="7"/>
        <v>163.26473999327442</v>
      </c>
      <c r="P40" s="24">
        <f t="shared" si="71"/>
        <v>579.89061974121284</v>
      </c>
      <c r="Q40" s="25">
        <f t="shared" si="9"/>
        <v>821.10948026975905</v>
      </c>
      <c r="R40" s="24">
        <f t="shared" si="10"/>
        <v>172.93037622250702</v>
      </c>
      <c r="S40" s="24">
        <f t="shared" si="11"/>
        <v>594.28365699082008</v>
      </c>
      <c r="T40" s="25">
        <f t="shared" si="12"/>
        <v>835.4147365669545</v>
      </c>
      <c r="U40" s="24">
        <f t="shared" si="13"/>
        <v>178.59402856795018</v>
      </c>
      <c r="V40" s="24">
        <f t="shared" si="14"/>
        <v>604.63718502912184</v>
      </c>
      <c r="W40" s="25">
        <f t="shared" si="15"/>
        <v>845.76249506600345</v>
      </c>
      <c r="X40" s="24">
        <f t="shared" si="16"/>
        <v>182.74503964784233</v>
      </c>
      <c r="Y40" s="24">
        <f t="shared" si="17"/>
        <v>612.126446705229</v>
      </c>
      <c r="Z40" s="25">
        <f t="shared" si="18"/>
        <v>853.32384238375164</v>
      </c>
      <c r="AA40" s="24">
        <f t="shared" si="19"/>
        <v>185.80721341949484</v>
      </c>
      <c r="AB40" s="24">
        <f t="shared" si="20"/>
        <v>617.59902404569868</v>
      </c>
      <c r="AC40" s="25">
        <f t="shared" si="21"/>
        <v>858.89024142579353</v>
      </c>
      <c r="AD40" s="24">
        <f t="shared" si="22"/>
        <v>188.07710957481302</v>
      </c>
      <c r="AE40" s="24">
        <f t="shared" si="23"/>
        <v>621.62774379435893</v>
      </c>
      <c r="AF40" s="25">
        <f t="shared" si="24"/>
        <v>863.01049745026398</v>
      </c>
      <c r="AG40" s="24">
        <f t="shared" si="25"/>
        <v>189.76583429207716</v>
      </c>
      <c r="AH40" s="24">
        <f t="shared" si="26"/>
        <v>624.60980754687614</v>
      </c>
      <c r="AI40" s="25">
        <f t="shared" si="27"/>
        <v>866.07269545052088</v>
      </c>
      <c r="AJ40" s="24">
        <f t="shared" si="28"/>
        <v>191.02561583335608</v>
      </c>
      <c r="AK40" s="24">
        <f t="shared" si="29"/>
        <v>626.82609449733832</v>
      </c>
      <c r="AL40" s="25">
        <f t="shared" si="30"/>
        <v>868.355404555218</v>
      </c>
      <c r="AM40" s="24">
        <f t="shared" si="31"/>
        <v>191.96733226226817</v>
      </c>
      <c r="AN40" s="24">
        <f t="shared" si="32"/>
        <v>628.47822097642859</v>
      </c>
      <c r="AO40" s="25">
        <f t="shared" si="33"/>
        <v>870.06087239840451</v>
      </c>
      <c r="AP40" s="24">
        <f t="shared" si="34"/>
        <v>192.6723699172413</v>
      </c>
      <c r="AQ40" s="24">
        <f t="shared" si="35"/>
        <v>629.71256510602757</v>
      </c>
      <c r="AR40" s="25">
        <f t="shared" si="36"/>
        <v>871.33721035584085</v>
      </c>
      <c r="AS40" s="24">
        <f t="shared" si="37"/>
        <v>193.20082213095984</v>
      </c>
      <c r="AT40" s="24">
        <f t="shared" si="38"/>
        <v>630.63632351721083</v>
      </c>
      <c r="AU40" s="25">
        <f t="shared" si="39"/>
        <v>872.29359739131291</v>
      </c>
      <c r="AV40" s="24">
        <f t="shared" si="40"/>
        <v>193.59726057571319</v>
      </c>
      <c r="AW40" s="24">
        <f t="shared" si="41"/>
        <v>631.32851523901661</v>
      </c>
      <c r="AX40" s="25">
        <f t="shared" si="42"/>
        <v>873.01091380102696</v>
      </c>
      <c r="AY40" s="24">
        <f t="shared" si="43"/>
        <v>193.89485779620603</v>
      </c>
      <c r="AZ40" s="24">
        <f t="shared" si="44"/>
        <v>631.84767794438972</v>
      </c>
      <c r="BA40" s="25">
        <f t="shared" si="45"/>
        <v>873.54930099885905</v>
      </c>
      <c r="BB40" s="24">
        <f t="shared" si="46"/>
        <v>194.11836666364013</v>
      </c>
      <c r="BC40" s="24">
        <f t="shared" si="47"/>
        <v>632.23733939696433</v>
      </c>
      <c r="BD40" s="25">
        <f t="shared" si="48"/>
        <v>873.95360592460588</v>
      </c>
      <c r="BE40" s="24">
        <f t="shared" si="49"/>
        <v>194.28629369686578</v>
      </c>
      <c r="BF40" s="24">
        <f t="shared" si="50"/>
        <v>632.52995787913471</v>
      </c>
      <c r="BG40" s="25">
        <f t="shared" si="51"/>
        <v>874.25734197190877</v>
      </c>
      <c r="BH40" s="24">
        <f t="shared" si="52"/>
        <v>194.41249584673236</v>
      </c>
      <c r="BI40" s="24">
        <f t="shared" si="53"/>
        <v>632.74978894099479</v>
      </c>
      <c r="BJ40" s="25">
        <f t="shared" si="54"/>
        <v>874.4855934578145</v>
      </c>
      <c r="BK40" s="24">
        <f t="shared" si="55"/>
        <v>194.50736026258596</v>
      </c>
      <c r="BL40" s="24">
        <f t="shared" si="56"/>
        <v>632.91498753024143</v>
      </c>
      <c r="BM40" s="25">
        <f t="shared" si="57"/>
        <v>874.65715840692405</v>
      </c>
      <c r="BN40" s="24">
        <f t="shared" si="58"/>
        <v>194.57867970451969</v>
      </c>
      <c r="BO40" s="24">
        <f t="shared" si="59"/>
        <v>633.03915884700029</v>
      </c>
      <c r="BP40" s="25">
        <f t="shared" si="60"/>
        <v>874.7861367930675</v>
      </c>
      <c r="BQ40" s="24">
        <f t="shared" si="61"/>
        <v>194.63230425770652</v>
      </c>
      <c r="BR40" s="24">
        <f t="shared" si="62"/>
        <v>633.13250784470631</v>
      </c>
      <c r="BS40" s="49">
        <f t="shared" si="63"/>
        <v>874.88293469756218</v>
      </c>
      <c r="BT40" s="50">
        <f t="shared" si="64"/>
        <v>194.67538002390808</v>
      </c>
      <c r="BU40" s="50">
        <f t="shared" si="65"/>
        <v>633.20256599657819</v>
      </c>
      <c r="BV40" s="49"/>
      <c r="BW40" s="50">
        <f t="shared" si="66"/>
        <v>6.0156334083675187</v>
      </c>
      <c r="BX40" s="24"/>
      <c r="BY40" s="8"/>
      <c r="CD40" s="8"/>
      <c r="CE40" s="8"/>
      <c r="CF40" s="8"/>
      <c r="CG40" s="8"/>
    </row>
    <row r="41" spans="1:85" x14ac:dyDescent="0.15">
      <c r="A41" s="111">
        <v>1600</v>
      </c>
      <c r="B41" s="112">
        <v>127</v>
      </c>
      <c r="C41" s="111">
        <v>74</v>
      </c>
      <c r="D41" s="114">
        <f t="shared" si="67"/>
        <v>28</v>
      </c>
      <c r="E41" s="117">
        <f t="shared" si="68"/>
        <v>2.6428571428571428</v>
      </c>
      <c r="F41" s="110">
        <f t="shared" si="69"/>
        <v>68.02376313274199</v>
      </c>
      <c r="G41" s="110">
        <f t="shared" si="70"/>
        <v>15.092662626010563</v>
      </c>
      <c r="H41" s="24">
        <f t="shared" si="0"/>
        <v>72.19655857048312</v>
      </c>
      <c r="I41" s="24">
        <f t="shared" si="1"/>
        <v>29.803441429516877</v>
      </c>
      <c r="J41" s="24">
        <f t="shared" si="2"/>
        <v>0.15417762260820714</v>
      </c>
      <c r="K41" s="29">
        <f t="shared" si="3"/>
        <v>102</v>
      </c>
      <c r="L41" s="24">
        <f t="shared" si="4"/>
        <v>0.72549019607843135</v>
      </c>
      <c r="M41" s="24">
        <f t="shared" si="5"/>
        <v>0.41731141273978267</v>
      </c>
      <c r="N41" s="25">
        <f t="shared" si="6"/>
        <v>468.90830310963224</v>
      </c>
      <c r="O41" s="24">
        <f t="shared" si="7"/>
        <v>68.735261145589121</v>
      </c>
      <c r="P41" s="24">
        <f t="shared" si="71"/>
        <v>340.1883767658116</v>
      </c>
      <c r="Q41" s="25">
        <f t="shared" si="9"/>
        <v>475.59334513775838</v>
      </c>
      <c r="R41" s="24">
        <f t="shared" si="10"/>
        <v>71.252211312037929</v>
      </c>
      <c r="S41" s="24">
        <f t="shared" si="11"/>
        <v>345.03830921758941</v>
      </c>
      <c r="T41" s="25">
        <f t="shared" si="12"/>
        <v>480.34452322240116</v>
      </c>
      <c r="U41" s="24">
        <f t="shared" si="13"/>
        <v>72.53111519459668</v>
      </c>
      <c r="V41" s="24">
        <f t="shared" si="14"/>
        <v>348.48524233782047</v>
      </c>
      <c r="W41" s="25">
        <f t="shared" si="15"/>
        <v>483.73831839875999</v>
      </c>
      <c r="X41" s="24">
        <f t="shared" si="16"/>
        <v>73.450634216944351</v>
      </c>
      <c r="Y41" s="24">
        <f t="shared" si="17"/>
        <v>350.94740746576701</v>
      </c>
      <c r="Z41" s="25">
        <f t="shared" si="18"/>
        <v>486.19579321189235</v>
      </c>
      <c r="AA41" s="24">
        <f t="shared" si="19"/>
        <v>74.119642157987585</v>
      </c>
      <c r="AB41" s="24">
        <f t="shared" si="20"/>
        <v>352.73028134980422</v>
      </c>
      <c r="AC41" s="25">
        <f t="shared" si="21"/>
        <v>487.99292853093056</v>
      </c>
      <c r="AD41" s="24">
        <f t="shared" si="22"/>
        <v>74.610578818112501</v>
      </c>
      <c r="AE41" s="24">
        <f t="shared" si="23"/>
        <v>354.03408540479273</v>
      </c>
      <c r="AF41" s="25">
        <f t="shared" si="24"/>
        <v>489.31668851788572</v>
      </c>
      <c r="AG41" s="24">
        <f t="shared" si="25"/>
        <v>74.973118721771698</v>
      </c>
      <c r="AH41" s="24">
        <f t="shared" si="26"/>
        <v>354.99446029728961</v>
      </c>
      <c r="AI41" s="25">
        <f t="shared" si="27"/>
        <v>490.29696534824529</v>
      </c>
      <c r="AJ41" s="24">
        <f t="shared" si="28"/>
        <v>75.242091712422692</v>
      </c>
      <c r="AK41" s="24">
        <f t="shared" si="29"/>
        <v>355.70564152715832</v>
      </c>
      <c r="AL41" s="25">
        <f t="shared" si="30"/>
        <v>491.02575112466286</v>
      </c>
      <c r="AM41" s="24">
        <f t="shared" si="31"/>
        <v>75.442337368481518</v>
      </c>
      <c r="AN41" s="24">
        <f t="shared" si="32"/>
        <v>356.23436846299069</v>
      </c>
      <c r="AO41" s="25">
        <f t="shared" si="33"/>
        <v>491.5691562690015</v>
      </c>
      <c r="AP41" s="24">
        <f t="shared" si="34"/>
        <v>75.591801164461572</v>
      </c>
      <c r="AQ41" s="24">
        <f t="shared" si="35"/>
        <v>356.62860356770693</v>
      </c>
      <c r="AR41" s="25">
        <f t="shared" si="36"/>
        <v>491.97522231250298</v>
      </c>
      <c r="AS41" s="24">
        <f t="shared" si="37"/>
        <v>75.703576005488841</v>
      </c>
      <c r="AT41" s="24">
        <f t="shared" si="38"/>
        <v>356.92320050122765</v>
      </c>
      <c r="AU41" s="25">
        <f t="shared" si="39"/>
        <v>492.2791560182975</v>
      </c>
      <c r="AV41" s="24">
        <f t="shared" si="40"/>
        <v>75.78728591014459</v>
      </c>
      <c r="AW41" s="24">
        <f t="shared" si="41"/>
        <v>357.14370142503935</v>
      </c>
      <c r="AX41" s="25">
        <f t="shared" si="42"/>
        <v>492.5069236267214</v>
      </c>
      <c r="AY41" s="24">
        <f t="shared" si="43"/>
        <v>75.850045139928099</v>
      </c>
      <c r="AZ41" s="24">
        <f t="shared" si="44"/>
        <v>357.30894459193513</v>
      </c>
      <c r="BA41" s="25">
        <f t="shared" si="45"/>
        <v>492.67776888776086</v>
      </c>
      <c r="BB41" s="24">
        <f t="shared" si="46"/>
        <v>75.89713520244014</v>
      </c>
      <c r="BC41" s="24">
        <f t="shared" si="47"/>
        <v>357.43289115386574</v>
      </c>
      <c r="BD41" s="25">
        <f t="shared" si="48"/>
        <v>492.80600559727458</v>
      </c>
      <c r="BE41" s="24">
        <f t="shared" si="49"/>
        <v>75.932489666126827</v>
      </c>
      <c r="BF41" s="24">
        <f t="shared" si="50"/>
        <v>357.52592562939526</v>
      </c>
      <c r="BG41" s="25">
        <f t="shared" si="51"/>
        <v>492.9023099287802</v>
      </c>
      <c r="BH41" s="24">
        <f t="shared" si="52"/>
        <v>75.959045317438438</v>
      </c>
      <c r="BI41" s="24">
        <f t="shared" si="53"/>
        <v>357.59579347774246</v>
      </c>
      <c r="BJ41" s="25">
        <f t="shared" si="54"/>
        <v>492.97466142568805</v>
      </c>
      <c r="BK41" s="24">
        <f t="shared" si="55"/>
        <v>75.978998775930933</v>
      </c>
      <c r="BL41" s="24">
        <f t="shared" si="56"/>
        <v>357.64828377942075</v>
      </c>
      <c r="BM41" s="25">
        <f t="shared" si="57"/>
        <v>493.02903346491223</v>
      </c>
      <c r="BN41" s="24">
        <f t="shared" si="58"/>
        <v>75.993995313770711</v>
      </c>
      <c r="BO41" s="24">
        <f t="shared" si="59"/>
        <v>357.68773016081866</v>
      </c>
      <c r="BP41" s="25">
        <f t="shared" si="60"/>
        <v>493.06990290739509</v>
      </c>
      <c r="BQ41" s="24">
        <f t="shared" si="61"/>
        <v>76.005268526788612</v>
      </c>
      <c r="BR41" s="24">
        <f t="shared" si="62"/>
        <v>357.71738054065918</v>
      </c>
      <c r="BS41" s="49">
        <f t="shared" si="63"/>
        <v>493.10052150857712</v>
      </c>
      <c r="BT41" s="50">
        <f t="shared" si="64"/>
        <v>76.014708353666563</v>
      </c>
      <c r="BU41" s="50">
        <f t="shared" si="65"/>
        <v>357.73959403563435</v>
      </c>
      <c r="BV41" s="49"/>
      <c r="BW41" s="50">
        <f t="shared" si="66"/>
        <v>4.5070750482098783</v>
      </c>
      <c r="BX41" s="24"/>
      <c r="BY41" s="8"/>
      <c r="CD41" s="8"/>
      <c r="CE41" s="8"/>
      <c r="CF41" s="8"/>
      <c r="CG41" s="8"/>
    </row>
    <row r="42" spans="1:85" x14ac:dyDescent="0.15">
      <c r="A42" s="111">
        <v>1600</v>
      </c>
      <c r="B42" s="112">
        <v>180</v>
      </c>
      <c r="C42" s="111">
        <v>103</v>
      </c>
      <c r="D42" s="114">
        <f t="shared" si="67"/>
        <v>40</v>
      </c>
      <c r="E42" s="117">
        <f t="shared" si="68"/>
        <v>2.5750000000000002</v>
      </c>
      <c r="F42" s="110">
        <f t="shared" si="69"/>
        <v>66.286155555520281</v>
      </c>
      <c r="G42" s="110">
        <f t="shared" si="70"/>
        <v>12.349297195336964</v>
      </c>
      <c r="H42" s="24">
        <f t="shared" si="0"/>
        <v>101.21674387822634</v>
      </c>
      <c r="I42" s="24">
        <f t="shared" si="1"/>
        <v>41.783256121773661</v>
      </c>
      <c r="J42" s="24">
        <f t="shared" si="2"/>
        <v>0.10752484906006561</v>
      </c>
      <c r="K42" s="29">
        <f t="shared" si="3"/>
        <v>143</v>
      </c>
      <c r="L42" s="24">
        <f t="shared" si="4"/>
        <v>0.72027972027972031</v>
      </c>
      <c r="M42" s="24">
        <f t="shared" si="5"/>
        <v>0.40748532657826797</v>
      </c>
      <c r="N42" s="25">
        <f t="shared" si="6"/>
        <v>644.50796174338984</v>
      </c>
      <c r="O42" s="24">
        <f t="shared" si="7"/>
        <v>64.596939985208436</v>
      </c>
      <c r="P42" s="24">
        <f t="shared" si="71"/>
        <v>464.22601440258154</v>
      </c>
      <c r="Q42" s="25">
        <f t="shared" si="9"/>
        <v>657.27650688896551</v>
      </c>
      <c r="R42" s="24">
        <f t="shared" si="10"/>
        <v>67.914010941797372</v>
      </c>
      <c r="S42" s="24">
        <f t="shared" si="11"/>
        <v>473.42293852841573</v>
      </c>
      <c r="T42" s="25">
        <f t="shared" si="12"/>
        <v>666.402342875508</v>
      </c>
      <c r="U42" s="24">
        <f t="shared" si="13"/>
        <v>69.606592482666883</v>
      </c>
      <c r="V42" s="24">
        <f t="shared" si="14"/>
        <v>479.99609312012115</v>
      </c>
      <c r="W42" s="25">
        <f t="shared" si="15"/>
        <v>672.9641265800534</v>
      </c>
      <c r="X42" s="24">
        <f t="shared" si="16"/>
        <v>70.835157770115259</v>
      </c>
      <c r="Y42" s="24">
        <f t="shared" si="17"/>
        <v>484.72241285136715</v>
      </c>
      <c r="Z42" s="25">
        <f t="shared" si="18"/>
        <v>677.73820852681627</v>
      </c>
      <c r="AA42" s="24">
        <f t="shared" si="19"/>
        <v>71.735162901763218</v>
      </c>
      <c r="AB42" s="24">
        <f t="shared" si="20"/>
        <v>488.16108726057399</v>
      </c>
      <c r="AC42" s="25">
        <f t="shared" si="21"/>
        <v>681.24157808067787</v>
      </c>
      <c r="AD42" s="24">
        <f t="shared" si="22"/>
        <v>72.398920003202676</v>
      </c>
      <c r="AE42" s="24">
        <f t="shared" si="23"/>
        <v>490.68449330286592</v>
      </c>
      <c r="AF42" s="25">
        <f t="shared" si="24"/>
        <v>683.82871646069259</v>
      </c>
      <c r="AG42" s="24">
        <f t="shared" si="25"/>
        <v>72.890885298209724</v>
      </c>
      <c r="AH42" s="24">
        <f t="shared" si="26"/>
        <v>492.54795661154782</v>
      </c>
      <c r="AI42" s="25">
        <f t="shared" si="27"/>
        <v>685.74816308722029</v>
      </c>
      <c r="AJ42" s="24">
        <f t="shared" si="28"/>
        <v>73.256873021760768</v>
      </c>
      <c r="AK42" s="24">
        <f t="shared" si="29"/>
        <v>493.93049509079503</v>
      </c>
      <c r="AL42" s="25">
        <f t="shared" si="30"/>
        <v>687.1771677718923</v>
      </c>
      <c r="AM42" s="24">
        <f t="shared" si="31"/>
        <v>73.529894351783298</v>
      </c>
      <c r="AN42" s="24">
        <f t="shared" si="32"/>
        <v>494.95977818534902</v>
      </c>
      <c r="AO42" s="25">
        <f t="shared" si="33"/>
        <v>688.24378657023783</v>
      </c>
      <c r="AP42" s="24">
        <f t="shared" si="34"/>
        <v>73.733984386808146</v>
      </c>
      <c r="AQ42" s="24">
        <f t="shared" si="35"/>
        <v>495.72804207506641</v>
      </c>
      <c r="AR42" s="25">
        <f t="shared" si="36"/>
        <v>689.04144958330903</v>
      </c>
      <c r="AS42" s="24">
        <f t="shared" si="37"/>
        <v>73.88678214553218</v>
      </c>
      <c r="AT42" s="24">
        <f t="shared" si="38"/>
        <v>496.30258256699886</v>
      </c>
      <c r="AU42" s="25">
        <f t="shared" si="39"/>
        <v>689.63883409308619</v>
      </c>
      <c r="AV42" s="24">
        <f t="shared" si="40"/>
        <v>74.001310810933461</v>
      </c>
      <c r="AW42" s="24">
        <f t="shared" si="41"/>
        <v>496.73286651460057</v>
      </c>
      <c r="AX42" s="25">
        <f t="shared" si="42"/>
        <v>690.08670830068866</v>
      </c>
      <c r="AY42" s="24">
        <f t="shared" si="43"/>
        <v>74.08722956291335</v>
      </c>
      <c r="AZ42" s="24">
        <f t="shared" si="44"/>
        <v>497.05546122357299</v>
      </c>
      <c r="BA42" s="25">
        <f t="shared" si="45"/>
        <v>690.42276205168776</v>
      </c>
      <c r="BB42" s="24">
        <f t="shared" si="46"/>
        <v>74.151727279632169</v>
      </c>
      <c r="BC42" s="24">
        <f t="shared" si="47"/>
        <v>497.29751392534155</v>
      </c>
      <c r="BD42" s="25">
        <f t="shared" si="48"/>
        <v>690.67506627789555</v>
      </c>
      <c r="BE42" s="24">
        <f t="shared" si="49"/>
        <v>74.200168263702608</v>
      </c>
      <c r="BF42" s="24">
        <f t="shared" si="50"/>
        <v>497.47924354281992</v>
      </c>
      <c r="BG42" s="25">
        <f t="shared" si="51"/>
        <v>690.86457876560223</v>
      </c>
      <c r="BH42" s="24">
        <f t="shared" si="52"/>
        <v>74.236563204534434</v>
      </c>
      <c r="BI42" s="24">
        <f t="shared" si="53"/>
        <v>497.6157455444548</v>
      </c>
      <c r="BJ42" s="25">
        <f t="shared" si="54"/>
        <v>691.00697533141488</v>
      </c>
      <c r="BK42" s="24">
        <f t="shared" si="55"/>
        <v>74.263915192516549</v>
      </c>
      <c r="BL42" s="24">
        <f t="shared" si="56"/>
        <v>497.7183109030471</v>
      </c>
      <c r="BM42" s="25">
        <f t="shared" si="57"/>
        <v>691.11399723925535</v>
      </c>
      <c r="BN42" s="24">
        <f t="shared" si="58"/>
        <v>74.284475368990101</v>
      </c>
      <c r="BO42" s="24">
        <f t="shared" si="59"/>
        <v>497.79539661289027</v>
      </c>
      <c r="BP42" s="25">
        <f t="shared" si="60"/>
        <v>691.19444790776436</v>
      </c>
      <c r="BQ42" s="24">
        <f t="shared" si="61"/>
        <v>74.299932628037936</v>
      </c>
      <c r="BR42" s="24">
        <f t="shared" si="62"/>
        <v>497.85334359790022</v>
      </c>
      <c r="BS42" s="49">
        <f t="shared" si="63"/>
        <v>691.25478868348057</v>
      </c>
      <c r="BT42" s="50">
        <f t="shared" si="64"/>
        <v>74.312905855120746</v>
      </c>
      <c r="BU42" s="50">
        <f t="shared" si="65"/>
        <v>497.89680583495453</v>
      </c>
      <c r="BV42" s="49"/>
      <c r="BW42" s="50">
        <f t="shared" si="66"/>
        <v>5.3676055007040899</v>
      </c>
      <c r="BX42" s="24"/>
      <c r="BY42" s="8"/>
      <c r="CD42" s="8"/>
      <c r="CE42" s="8"/>
      <c r="CF42" s="8"/>
      <c r="CG42" s="8"/>
    </row>
    <row r="43" spans="1:85" x14ac:dyDescent="0.15">
      <c r="A43" s="111">
        <v>1600</v>
      </c>
      <c r="B43" s="112">
        <v>199</v>
      </c>
      <c r="C43" s="111">
        <v>136</v>
      </c>
      <c r="D43" s="114">
        <f t="shared" si="67"/>
        <v>44</v>
      </c>
      <c r="E43" s="117">
        <f t="shared" si="68"/>
        <v>3.0909090909090908</v>
      </c>
      <c r="F43" s="110">
        <f t="shared" si="69"/>
        <v>79.485220309829742</v>
      </c>
      <c r="G43" s="110">
        <f t="shared" si="70"/>
        <v>13.785637122505227</v>
      </c>
      <c r="H43" s="24">
        <f t="shared" si="0"/>
        <v>127.40569159497022</v>
      </c>
      <c r="I43" s="24">
        <f t="shared" si="1"/>
        <v>52.594308405029778</v>
      </c>
      <c r="J43" s="24">
        <f t="shared" si="2"/>
        <v>1.984114793230725</v>
      </c>
      <c r="K43" s="29">
        <f t="shared" si="3"/>
        <v>180</v>
      </c>
      <c r="L43" s="24">
        <f t="shared" si="4"/>
        <v>0.75555555555555554</v>
      </c>
      <c r="M43" s="24">
        <f t="shared" si="5"/>
        <v>0.48677264039584328</v>
      </c>
      <c r="N43" s="25">
        <f t="shared" si="6"/>
        <v>797.17050793173109</v>
      </c>
      <c r="O43" s="24">
        <f t="shared" si="7"/>
        <v>1448.7028169120526</v>
      </c>
      <c r="P43" s="24">
        <f t="shared" si="71"/>
        <v>602.30660599286352</v>
      </c>
      <c r="Q43" s="25">
        <f t="shared" si="9"/>
        <v>816.85274236277223</v>
      </c>
      <c r="R43" s="24">
        <f t="shared" si="10"/>
        <v>1525.4446126692933</v>
      </c>
      <c r="S43" s="24">
        <f t="shared" si="11"/>
        <v>617.1776275629835</v>
      </c>
      <c r="T43" s="25">
        <f t="shared" si="12"/>
        <v>831.00850374628692</v>
      </c>
      <c r="U43" s="24">
        <f t="shared" si="13"/>
        <v>1577.5489528761418</v>
      </c>
      <c r="V43" s="24">
        <f t="shared" si="14"/>
        <v>627.87309171941672</v>
      </c>
      <c r="W43" s="25">
        <f t="shared" si="15"/>
        <v>841.24652615793127</v>
      </c>
      <c r="X43" s="24">
        <f t="shared" si="16"/>
        <v>1615.770219022173</v>
      </c>
      <c r="Y43" s="24">
        <f t="shared" si="17"/>
        <v>635.60848643043698</v>
      </c>
      <c r="Z43" s="25">
        <f t="shared" si="18"/>
        <v>848.72683839315732</v>
      </c>
      <c r="AA43" s="24">
        <f t="shared" si="19"/>
        <v>1643.9818487393188</v>
      </c>
      <c r="AB43" s="24">
        <f t="shared" si="20"/>
        <v>641.26027789705222</v>
      </c>
      <c r="AC43" s="25">
        <f t="shared" si="21"/>
        <v>854.23312450294736</v>
      </c>
      <c r="AD43" s="24">
        <f t="shared" si="22"/>
        <v>1664.9026911734118</v>
      </c>
      <c r="AE43" s="24">
        <f t="shared" si="23"/>
        <v>645.42058295778247</v>
      </c>
      <c r="AF43" s="25">
        <f t="shared" si="24"/>
        <v>858.30863487037652</v>
      </c>
      <c r="AG43" s="24">
        <f t="shared" si="25"/>
        <v>1680.4715820181011</v>
      </c>
      <c r="AH43" s="24">
        <f t="shared" si="26"/>
        <v>648.49985745761785</v>
      </c>
      <c r="AI43" s="25">
        <f t="shared" si="27"/>
        <v>861.33743989156073</v>
      </c>
      <c r="AJ43" s="24">
        <f t="shared" si="28"/>
        <v>1692.0883518862968</v>
      </c>
      <c r="AK43" s="24">
        <f t="shared" si="29"/>
        <v>650.78828791806814</v>
      </c>
      <c r="AL43" s="25">
        <f t="shared" si="30"/>
        <v>863.59517985976947</v>
      </c>
      <c r="AM43" s="24">
        <f t="shared" si="31"/>
        <v>1700.7735006245084</v>
      </c>
      <c r="AN43" s="24">
        <f t="shared" si="32"/>
        <v>652.49413589404799</v>
      </c>
      <c r="AO43" s="25">
        <f t="shared" si="33"/>
        <v>865.28195005483042</v>
      </c>
      <c r="AP43" s="24">
        <f t="shared" si="34"/>
        <v>1707.2765768541715</v>
      </c>
      <c r="AQ43" s="24">
        <f t="shared" si="35"/>
        <v>653.76858448587188</v>
      </c>
      <c r="AR43" s="25">
        <f t="shared" si="36"/>
        <v>866.54427123436324</v>
      </c>
      <c r="AS43" s="24">
        <f t="shared" si="37"/>
        <v>1712.1512881188921</v>
      </c>
      <c r="AT43" s="24">
        <f t="shared" si="38"/>
        <v>654.72233826596334</v>
      </c>
      <c r="AU43" s="25">
        <f t="shared" si="39"/>
        <v>867.4901418298515</v>
      </c>
      <c r="AV43" s="24">
        <f t="shared" si="40"/>
        <v>1715.80846702851</v>
      </c>
      <c r="AW43" s="24">
        <f t="shared" si="41"/>
        <v>655.43699604922108</v>
      </c>
      <c r="AX43" s="25">
        <f t="shared" si="42"/>
        <v>868.19956310423947</v>
      </c>
      <c r="AY43" s="24">
        <f t="shared" si="43"/>
        <v>1718.5539557153681</v>
      </c>
      <c r="AZ43" s="24">
        <f t="shared" si="44"/>
        <v>655.97300323431421</v>
      </c>
      <c r="BA43" s="25">
        <f t="shared" si="45"/>
        <v>868.73202031579706</v>
      </c>
      <c r="BB43" s="24">
        <f t="shared" si="46"/>
        <v>1720.6160131430811</v>
      </c>
      <c r="BC43" s="24">
        <f t="shared" si="47"/>
        <v>656.37530423860221</v>
      </c>
      <c r="BD43" s="25">
        <f t="shared" si="48"/>
        <v>869.13186969804383</v>
      </c>
      <c r="BE43" s="24">
        <f t="shared" si="49"/>
        <v>1722.1653219952618</v>
      </c>
      <c r="BF43" s="24">
        <f t="shared" si="50"/>
        <v>656.67741266074415</v>
      </c>
      <c r="BG43" s="25">
        <f t="shared" si="51"/>
        <v>869.4322571499149</v>
      </c>
      <c r="BH43" s="24">
        <f t="shared" si="52"/>
        <v>1723.3296964720857</v>
      </c>
      <c r="BI43" s="24">
        <f t="shared" si="53"/>
        <v>656.90437206882461</v>
      </c>
      <c r="BJ43" s="25">
        <f t="shared" si="54"/>
        <v>869.65799147384848</v>
      </c>
      <c r="BK43" s="24">
        <f t="shared" si="55"/>
        <v>1724.2049536184134</v>
      </c>
      <c r="BL43" s="24">
        <f t="shared" si="56"/>
        <v>657.07492689135222</v>
      </c>
      <c r="BM43" s="25">
        <f t="shared" si="57"/>
        <v>869.82766397173168</v>
      </c>
      <c r="BN43" s="24">
        <f t="shared" si="58"/>
        <v>1724.8629826775552</v>
      </c>
      <c r="BO43" s="24">
        <f t="shared" si="59"/>
        <v>657.20312388975276</v>
      </c>
      <c r="BP43" s="25">
        <f t="shared" si="60"/>
        <v>869.95521941601112</v>
      </c>
      <c r="BQ43" s="24">
        <f t="shared" si="61"/>
        <v>1725.3577539030769</v>
      </c>
      <c r="BR43" s="24">
        <f t="shared" si="62"/>
        <v>657.29949911431947</v>
      </c>
      <c r="BS43" s="49">
        <f t="shared" si="63"/>
        <v>870.05094814588972</v>
      </c>
      <c r="BT43" s="50">
        <f t="shared" si="64"/>
        <v>1725.7374869974308</v>
      </c>
      <c r="BU43" s="50">
        <f t="shared" si="65"/>
        <v>657.37182748800558</v>
      </c>
      <c r="BV43" s="49"/>
      <c r="BW43" s="50">
        <f t="shared" si="66"/>
        <v>5.7657995494505743</v>
      </c>
      <c r="BX43" s="24"/>
      <c r="BY43" s="8"/>
      <c r="CD43" s="8"/>
      <c r="CE43" s="8"/>
      <c r="CF43" s="8"/>
      <c r="CG43" s="8"/>
    </row>
    <row r="44" spans="1:85" x14ac:dyDescent="0.15">
      <c r="A44" s="111">
        <v>1600</v>
      </c>
      <c r="B44" s="112">
        <v>185</v>
      </c>
      <c r="C44" s="111">
        <v>72</v>
      </c>
      <c r="D44" s="114">
        <f t="shared" si="67"/>
        <v>41</v>
      </c>
      <c r="E44" s="117">
        <f t="shared" si="68"/>
        <v>1.7560975609756098</v>
      </c>
      <c r="F44" s="110">
        <f t="shared" si="69"/>
        <v>45.27962929704254</v>
      </c>
      <c r="G44" s="110">
        <f t="shared" si="70"/>
        <v>8.8589838059819481</v>
      </c>
      <c r="H44" s="24">
        <f t="shared" si="0"/>
        <v>79.982461945731302</v>
      </c>
      <c r="I44" s="24">
        <f t="shared" si="1"/>
        <v>33.017538054268698</v>
      </c>
      <c r="J44" s="24">
        <f t="shared" si="2"/>
        <v>2.7265452020634595</v>
      </c>
      <c r="K44" s="29">
        <f t="shared" si="3"/>
        <v>113</v>
      </c>
      <c r="L44" s="24">
        <f t="shared" si="4"/>
        <v>0.63716814159292035</v>
      </c>
      <c r="M44" s="24">
        <f t="shared" si="5"/>
        <v>0.24228990985890098</v>
      </c>
      <c r="N44" s="25">
        <f t="shared" si="6"/>
        <v>516.70579829722681</v>
      </c>
      <c r="O44" s="24">
        <f t="shared" si="7"/>
        <v>1332.3045063927323</v>
      </c>
      <c r="P44" s="24">
        <f t="shared" si="71"/>
        <v>329.22847325133034</v>
      </c>
      <c r="Q44" s="25">
        <f t="shared" si="9"/>
        <v>524.85041041862689</v>
      </c>
      <c r="R44" s="24">
        <f t="shared" si="10"/>
        <v>1372.0002334780168</v>
      </c>
      <c r="S44" s="24">
        <f t="shared" si="11"/>
        <v>334.41796062071802</v>
      </c>
      <c r="T44" s="25">
        <f t="shared" si="12"/>
        <v>530.64625511901579</v>
      </c>
      <c r="U44" s="24">
        <f t="shared" si="13"/>
        <v>1403.2063777071926</v>
      </c>
      <c r="V44" s="24">
        <f t="shared" si="14"/>
        <v>338.11088821742601</v>
      </c>
      <c r="W44" s="25">
        <f t="shared" si="15"/>
        <v>534.79365231124132</v>
      </c>
      <c r="X44" s="24">
        <f t="shared" si="16"/>
        <v>1425.757051975907</v>
      </c>
      <c r="Y44" s="24">
        <f t="shared" si="17"/>
        <v>340.75347757884401</v>
      </c>
      <c r="Z44" s="25">
        <f t="shared" si="18"/>
        <v>537.80067066241611</v>
      </c>
      <c r="AA44" s="24">
        <f t="shared" si="19"/>
        <v>1442.2216932403817</v>
      </c>
      <c r="AB44" s="24">
        <f t="shared" si="20"/>
        <v>342.66945387339786</v>
      </c>
      <c r="AC44" s="25">
        <f t="shared" si="21"/>
        <v>540.00173653281672</v>
      </c>
      <c r="AD44" s="24">
        <f t="shared" si="22"/>
        <v>1454.3344316579871</v>
      </c>
      <c r="AE44" s="24">
        <f t="shared" si="23"/>
        <v>344.07190292356461</v>
      </c>
      <c r="AF44" s="25">
        <f t="shared" si="24"/>
        <v>541.62414017041533</v>
      </c>
      <c r="AG44" s="24">
        <f t="shared" si="25"/>
        <v>1463.2957246536587</v>
      </c>
      <c r="AH44" s="24">
        <f t="shared" si="26"/>
        <v>345.10564683424695</v>
      </c>
      <c r="AI44" s="25">
        <f t="shared" si="27"/>
        <v>542.82617771187029</v>
      </c>
      <c r="AJ44" s="24">
        <f t="shared" si="28"/>
        <v>1469.9531983994711</v>
      </c>
      <c r="AK44" s="24">
        <f t="shared" si="29"/>
        <v>345.87154686066071</v>
      </c>
      <c r="AL44" s="25">
        <f t="shared" si="30"/>
        <v>543.72016663395414</v>
      </c>
      <c r="AM44" s="24">
        <f t="shared" si="31"/>
        <v>1474.9145129488052</v>
      </c>
      <c r="AN44" s="24">
        <f t="shared" si="32"/>
        <v>346.44116812074952</v>
      </c>
      <c r="AO44" s="25">
        <f t="shared" si="33"/>
        <v>544.38693857754947</v>
      </c>
      <c r="AP44" s="24">
        <f t="shared" si="34"/>
        <v>1478.6203892001922</v>
      </c>
      <c r="AQ44" s="24">
        <f t="shared" si="35"/>
        <v>346.86601396091646</v>
      </c>
      <c r="AR44" s="25">
        <f t="shared" si="36"/>
        <v>544.88529585464858</v>
      </c>
      <c r="AS44" s="24">
        <f t="shared" si="37"/>
        <v>1481.3933145634362</v>
      </c>
      <c r="AT44" s="24">
        <f t="shared" si="38"/>
        <v>347.183551341015</v>
      </c>
      <c r="AU44" s="25">
        <f t="shared" si="39"/>
        <v>545.25836619273389</v>
      </c>
      <c r="AV44" s="24">
        <f t="shared" si="40"/>
        <v>1483.4708552846969</v>
      </c>
      <c r="AW44" s="24">
        <f t="shared" si="41"/>
        <v>347.42125987501629</v>
      </c>
      <c r="AX44" s="25">
        <f t="shared" si="42"/>
        <v>545.53797737670357</v>
      </c>
      <c r="AY44" s="24">
        <f t="shared" si="43"/>
        <v>1485.0289141664182</v>
      </c>
      <c r="AZ44" s="24">
        <f t="shared" si="44"/>
        <v>347.59941921347485</v>
      </c>
      <c r="BA44" s="25">
        <f t="shared" si="45"/>
        <v>545.74772813573315</v>
      </c>
      <c r="BB44" s="24">
        <f t="shared" si="46"/>
        <v>1486.198240054752</v>
      </c>
      <c r="BC44" s="24">
        <f t="shared" si="47"/>
        <v>347.73306571480344</v>
      </c>
      <c r="BD44" s="25">
        <f t="shared" si="48"/>
        <v>545.90517771472628</v>
      </c>
      <c r="BE44" s="24">
        <f t="shared" si="49"/>
        <v>1487.0763028097185</v>
      </c>
      <c r="BF44" s="24">
        <f t="shared" si="50"/>
        <v>347.83338757044504</v>
      </c>
      <c r="BG44" s="25">
        <f t="shared" si="51"/>
        <v>546.02342641657845</v>
      </c>
      <c r="BH44" s="24">
        <f t="shared" si="52"/>
        <v>1487.7359239116101</v>
      </c>
      <c r="BI44" s="24">
        <f t="shared" si="53"/>
        <v>347.90873187604996</v>
      </c>
      <c r="BJ44" s="25">
        <f t="shared" si="54"/>
        <v>546.112267566843</v>
      </c>
      <c r="BK44" s="24">
        <f t="shared" si="55"/>
        <v>1488.2316000599014</v>
      </c>
      <c r="BL44" s="24">
        <f t="shared" si="56"/>
        <v>347.96533862666104</v>
      </c>
      <c r="BM44" s="25">
        <f t="shared" si="57"/>
        <v>546.17903341407737</v>
      </c>
      <c r="BN44" s="24">
        <f t="shared" si="58"/>
        <v>1488.6041655182494</v>
      </c>
      <c r="BO44" s="24">
        <f t="shared" si="59"/>
        <v>348.00787969746523</v>
      </c>
      <c r="BP44" s="25">
        <f t="shared" si="60"/>
        <v>546.22921987182269</v>
      </c>
      <c r="BQ44" s="24">
        <f t="shared" si="61"/>
        <v>1488.8842461924717</v>
      </c>
      <c r="BR44" s="24">
        <f t="shared" si="62"/>
        <v>348.03985690947997</v>
      </c>
      <c r="BS44" s="49">
        <f t="shared" si="63"/>
        <v>546.26683300646971</v>
      </c>
      <c r="BT44" s="50">
        <f t="shared" si="64"/>
        <v>1489.0893012488948</v>
      </c>
      <c r="BU44" s="50">
        <f t="shared" si="65"/>
        <v>348.06382280058244</v>
      </c>
      <c r="BV44" s="49"/>
      <c r="BW44" s="50">
        <f t="shared" si="66"/>
        <v>5.1111538624179316</v>
      </c>
      <c r="BX44" s="24"/>
      <c r="BY44" s="8"/>
      <c r="CD44" s="8"/>
      <c r="CE44" s="8"/>
      <c r="CF44" s="8"/>
      <c r="CG44" s="8"/>
    </row>
    <row r="45" spans="1:85" x14ac:dyDescent="0.15">
      <c r="A45" s="111">
        <v>1600</v>
      </c>
      <c r="B45" s="112">
        <v>228</v>
      </c>
      <c r="C45" s="111">
        <v>133</v>
      </c>
      <c r="D45" s="114">
        <f t="shared" si="67"/>
        <v>50</v>
      </c>
      <c r="E45" s="117">
        <f t="shared" si="68"/>
        <v>2.66</v>
      </c>
      <c r="F45" s="110">
        <f t="shared" si="69"/>
        <v>68.462663580399365</v>
      </c>
      <c r="G45" s="110">
        <f t="shared" si="70"/>
        <v>11.357127825302284</v>
      </c>
      <c r="H45" s="24">
        <f t="shared" si="0"/>
        <v>129.52911978821973</v>
      </c>
      <c r="I45" s="24">
        <f t="shared" si="1"/>
        <v>53.470880211780276</v>
      </c>
      <c r="J45" s="24">
        <f t="shared" si="2"/>
        <v>0.3183065628055467</v>
      </c>
      <c r="K45" s="29">
        <f t="shared" si="3"/>
        <v>183</v>
      </c>
      <c r="L45" s="24">
        <f t="shared" si="4"/>
        <v>0.72677595628415304</v>
      </c>
      <c r="M45" s="24">
        <f t="shared" si="5"/>
        <v>0.42218988758193265</v>
      </c>
      <c r="N45" s="25">
        <f t="shared" si="6"/>
        <v>809.31633233171306</v>
      </c>
      <c r="O45" s="24">
        <f t="shared" si="7"/>
        <v>235.62082961440703</v>
      </c>
      <c r="P45" s="24">
        <f t="shared" si="71"/>
        <v>588.19165136676418</v>
      </c>
      <c r="Q45" s="25">
        <f t="shared" si="9"/>
        <v>829.61421427255596</v>
      </c>
      <c r="R45" s="24">
        <f t="shared" si="10"/>
        <v>249.36048613211915</v>
      </c>
      <c r="S45" s="24">
        <f t="shared" si="11"/>
        <v>602.94366392486313</v>
      </c>
      <c r="T45" s="25">
        <f t="shared" si="12"/>
        <v>844.22054638923339</v>
      </c>
      <c r="U45" s="24">
        <f t="shared" si="13"/>
        <v>257.71537916261065</v>
      </c>
      <c r="V45" s="24">
        <f t="shared" si="14"/>
        <v>613.55919491676525</v>
      </c>
      <c r="W45" s="25">
        <f t="shared" si="15"/>
        <v>854.78938591651308</v>
      </c>
      <c r="X45" s="24">
        <f t="shared" si="16"/>
        <v>263.84338425220108</v>
      </c>
      <c r="Y45" s="24">
        <f t="shared" si="17"/>
        <v>621.24037337101777</v>
      </c>
      <c r="Z45" s="25">
        <f t="shared" si="18"/>
        <v>862.51403314083859</v>
      </c>
      <c r="AA45" s="24">
        <f t="shared" si="19"/>
        <v>268.36633641905695</v>
      </c>
      <c r="AB45" s="24">
        <f t="shared" si="20"/>
        <v>626.85446124443467</v>
      </c>
      <c r="AC45" s="25">
        <f t="shared" si="21"/>
        <v>868.20159295889175</v>
      </c>
      <c r="AD45" s="24">
        <f t="shared" si="22"/>
        <v>271.72033550759687</v>
      </c>
      <c r="AE45" s="24">
        <f t="shared" si="23"/>
        <v>630.9880429701235</v>
      </c>
      <c r="AF45" s="25">
        <f t="shared" si="24"/>
        <v>872.41204866475857</v>
      </c>
      <c r="AG45" s="24">
        <f t="shared" si="25"/>
        <v>274.21628948370636</v>
      </c>
      <c r="AH45" s="24">
        <f t="shared" si="26"/>
        <v>634.04810094214702</v>
      </c>
      <c r="AI45" s="25">
        <f t="shared" si="27"/>
        <v>875.54156816105581</v>
      </c>
      <c r="AJ45" s="24">
        <f t="shared" si="28"/>
        <v>276.0786426691559</v>
      </c>
      <c r="AK45" s="24">
        <f t="shared" si="29"/>
        <v>636.32256046677833</v>
      </c>
      <c r="AL45" s="25">
        <f t="shared" si="30"/>
        <v>877.8746198167654</v>
      </c>
      <c r="AM45" s="24">
        <f t="shared" si="31"/>
        <v>277.47100737343351</v>
      </c>
      <c r="AN45" s="24">
        <f t="shared" si="32"/>
        <v>638.01816631491693</v>
      </c>
      <c r="AO45" s="25">
        <f t="shared" si="33"/>
        <v>879.61778783607497</v>
      </c>
      <c r="AP45" s="24">
        <f t="shared" si="34"/>
        <v>278.51355120187941</v>
      </c>
      <c r="AQ45" s="24">
        <f t="shared" si="35"/>
        <v>639.28505891911459</v>
      </c>
      <c r="AR45" s="25">
        <f t="shared" si="36"/>
        <v>880.92238910582057</v>
      </c>
      <c r="AS45" s="24">
        <f t="shared" si="37"/>
        <v>279.29504296184746</v>
      </c>
      <c r="AT45" s="24">
        <f t="shared" si="38"/>
        <v>640.23321175450349</v>
      </c>
      <c r="AU45" s="25">
        <f t="shared" si="39"/>
        <v>881.89998207711949</v>
      </c>
      <c r="AV45" s="24">
        <f t="shared" si="40"/>
        <v>279.88134561983452</v>
      </c>
      <c r="AW45" s="24">
        <f t="shared" si="41"/>
        <v>640.94370282107593</v>
      </c>
      <c r="AX45" s="25">
        <f t="shared" si="42"/>
        <v>882.6332190578654</v>
      </c>
      <c r="AY45" s="24">
        <f t="shared" si="43"/>
        <v>280.32149034284674</v>
      </c>
      <c r="AZ45" s="24">
        <f t="shared" si="44"/>
        <v>641.47660182894049</v>
      </c>
      <c r="BA45" s="25">
        <f t="shared" si="45"/>
        <v>883.1835643102055</v>
      </c>
      <c r="BB45" s="24">
        <f t="shared" si="46"/>
        <v>280.65207049532825</v>
      </c>
      <c r="BC45" s="24">
        <f t="shared" si="47"/>
        <v>641.87657952599636</v>
      </c>
      <c r="BD45" s="25">
        <f t="shared" si="48"/>
        <v>883.59685413843829</v>
      </c>
      <c r="BE45" s="24">
        <f t="shared" si="49"/>
        <v>280.90044909751003</v>
      </c>
      <c r="BF45" s="24">
        <f t="shared" si="50"/>
        <v>642.17694863613281</v>
      </c>
      <c r="BG45" s="25">
        <f t="shared" si="51"/>
        <v>883.90734292135369</v>
      </c>
      <c r="BH45" s="24">
        <f t="shared" si="52"/>
        <v>281.08711671480717</v>
      </c>
      <c r="BI45" s="24">
        <f t="shared" si="53"/>
        <v>642.4026044182516</v>
      </c>
      <c r="BJ45" s="25">
        <f t="shared" si="54"/>
        <v>884.14067052308621</v>
      </c>
      <c r="BK45" s="24">
        <f t="shared" si="55"/>
        <v>281.22743429207964</v>
      </c>
      <c r="BL45" s="24">
        <f t="shared" si="56"/>
        <v>642.57218130912827</v>
      </c>
      <c r="BM45" s="25">
        <f t="shared" si="57"/>
        <v>884.31605181636053</v>
      </c>
      <c r="BN45" s="24">
        <f t="shared" si="58"/>
        <v>281.33292678811387</v>
      </c>
      <c r="BO45" s="24">
        <f t="shared" si="59"/>
        <v>642.69964421626207</v>
      </c>
      <c r="BP45" s="25">
        <f t="shared" si="60"/>
        <v>884.44789973968534</v>
      </c>
      <c r="BQ45" s="24">
        <f t="shared" si="61"/>
        <v>281.41224647561717</v>
      </c>
      <c r="BR45" s="24">
        <f t="shared" si="62"/>
        <v>642.79546811682053</v>
      </c>
      <c r="BS45" s="49">
        <f t="shared" si="63"/>
        <v>884.54685379191403</v>
      </c>
      <c r="BT45" s="50">
        <f t="shared" si="64"/>
        <v>281.47522008871562</v>
      </c>
      <c r="BU45" s="50">
        <f t="shared" si="65"/>
        <v>642.86738554275723</v>
      </c>
      <c r="BV45" s="49"/>
      <c r="BW45" s="50">
        <f t="shared" si="66"/>
        <v>6.0281670360241062</v>
      </c>
      <c r="BX45" s="24"/>
      <c r="BY45" s="8"/>
      <c r="CD45" s="8"/>
      <c r="CE45" s="8"/>
      <c r="CF45" s="8"/>
      <c r="CG45" s="8"/>
    </row>
    <row r="46" spans="1:85" x14ac:dyDescent="0.15">
      <c r="A46" s="111"/>
      <c r="B46" s="112"/>
      <c r="C46" s="111"/>
      <c r="D46" s="114"/>
      <c r="E46" s="116"/>
      <c r="F46" s="124"/>
      <c r="G46" s="117"/>
      <c r="H46" s="24"/>
      <c r="I46" s="24"/>
      <c r="J46" s="24"/>
      <c r="K46" s="29"/>
      <c r="L46" s="24"/>
      <c r="M46" s="24"/>
      <c r="N46" s="25"/>
      <c r="O46" s="24"/>
      <c r="P46" s="24"/>
      <c r="Q46" s="25"/>
      <c r="R46" s="24"/>
      <c r="S46" s="24"/>
      <c r="T46" s="25"/>
      <c r="U46" s="24"/>
      <c r="V46" s="24"/>
      <c r="W46" s="25"/>
      <c r="X46" s="24"/>
      <c r="Y46" s="24"/>
      <c r="Z46" s="25"/>
      <c r="AA46" s="24"/>
      <c r="AB46" s="24"/>
      <c r="AC46" s="25"/>
      <c r="AD46" s="24"/>
      <c r="AE46" s="24"/>
      <c r="AF46" s="25"/>
      <c r="AG46" s="24"/>
      <c r="AH46" s="24"/>
      <c r="AI46" s="25"/>
      <c r="AJ46" s="24"/>
      <c r="AK46" s="24"/>
      <c r="AL46" s="25"/>
      <c r="AM46" s="24"/>
      <c r="AN46" s="24"/>
      <c r="AO46" s="25"/>
      <c r="AP46" s="24"/>
      <c r="AQ46" s="24"/>
      <c r="AR46" s="25"/>
      <c r="AS46" s="24"/>
      <c r="AT46" s="24"/>
      <c r="AU46" s="25"/>
      <c r="AV46" s="24"/>
      <c r="AW46" s="24"/>
      <c r="AX46" s="25"/>
      <c r="AY46" s="24"/>
      <c r="AZ46" s="24"/>
      <c r="BA46" s="25"/>
      <c r="BB46" s="24"/>
      <c r="BC46" s="24"/>
      <c r="BD46" s="25"/>
      <c r="BE46" s="24"/>
      <c r="BF46" s="24"/>
      <c r="BG46" s="25"/>
      <c r="BH46" s="24"/>
      <c r="BI46" s="24"/>
      <c r="BJ46" s="25"/>
      <c r="BK46" s="24"/>
      <c r="BL46" s="24"/>
      <c r="BM46" s="25"/>
      <c r="BN46" s="24"/>
      <c r="BO46" s="24"/>
      <c r="BP46" s="25"/>
      <c r="BQ46" s="24"/>
      <c r="BR46" s="24"/>
      <c r="BS46" s="49"/>
      <c r="BT46" s="50"/>
      <c r="BU46" s="50"/>
      <c r="BV46" s="49"/>
      <c r="BW46" s="50"/>
      <c r="BX46" s="24"/>
      <c r="BY46" s="8"/>
      <c r="CD46" s="8"/>
      <c r="CE46" s="8"/>
      <c r="CF46" s="8"/>
      <c r="CG46" s="8"/>
    </row>
    <row r="47" spans="1:85" x14ac:dyDescent="0.15">
      <c r="A47" s="111"/>
      <c r="B47" s="112"/>
      <c r="C47" s="111"/>
      <c r="D47" s="114"/>
      <c r="E47" s="116"/>
      <c r="F47" s="124"/>
      <c r="G47" s="117"/>
      <c r="H47" s="24"/>
      <c r="I47" s="24"/>
      <c r="J47" s="24"/>
      <c r="K47" s="29"/>
      <c r="L47" s="24"/>
      <c r="M47" s="24"/>
      <c r="N47" s="25"/>
      <c r="O47" s="24"/>
      <c r="P47" s="24"/>
      <c r="Q47" s="25"/>
      <c r="R47" s="24"/>
      <c r="S47" s="24"/>
      <c r="T47" s="25"/>
      <c r="U47" s="24"/>
      <c r="V47" s="24"/>
      <c r="W47" s="25"/>
      <c r="X47" s="24"/>
      <c r="Y47" s="24"/>
      <c r="Z47" s="25"/>
      <c r="AA47" s="24"/>
      <c r="AB47" s="24"/>
      <c r="AC47" s="25"/>
      <c r="AD47" s="24"/>
      <c r="AE47" s="24"/>
      <c r="AF47" s="25"/>
      <c r="AG47" s="24"/>
      <c r="AH47" s="24"/>
      <c r="AI47" s="25"/>
      <c r="AJ47" s="24"/>
      <c r="AK47" s="24"/>
      <c r="AL47" s="25"/>
      <c r="AM47" s="24"/>
      <c r="AN47" s="24"/>
      <c r="AO47" s="25"/>
      <c r="AP47" s="24"/>
      <c r="AQ47" s="24"/>
      <c r="AR47" s="25"/>
      <c r="AS47" s="24"/>
      <c r="AT47" s="24"/>
      <c r="AU47" s="25"/>
      <c r="AV47" s="24"/>
      <c r="AW47" s="24"/>
      <c r="AX47" s="25"/>
      <c r="AY47" s="24"/>
      <c r="AZ47" s="24"/>
      <c r="BA47" s="25"/>
      <c r="BB47" s="24"/>
      <c r="BC47" s="24"/>
      <c r="BD47" s="25"/>
      <c r="BE47" s="24"/>
      <c r="BF47" s="24"/>
      <c r="BG47" s="25"/>
      <c r="BH47" s="24"/>
      <c r="BI47" s="24"/>
      <c r="BJ47" s="25"/>
      <c r="BK47" s="24"/>
      <c r="BL47" s="24"/>
      <c r="BM47" s="25"/>
      <c r="BN47" s="24"/>
      <c r="BO47" s="24"/>
      <c r="BP47" s="25"/>
      <c r="BQ47" s="24"/>
      <c r="BR47" s="24"/>
      <c r="BS47" s="49"/>
      <c r="BT47" s="50"/>
      <c r="BU47" s="50"/>
      <c r="BV47" s="49"/>
      <c r="BW47" s="50"/>
      <c r="BX47" s="24"/>
      <c r="BY47" s="8"/>
      <c r="CD47" s="8"/>
      <c r="CE47" s="8"/>
      <c r="CF47" s="8"/>
      <c r="CG47" s="8"/>
    </row>
    <row r="48" spans="1:85" x14ac:dyDescent="0.15">
      <c r="A48" s="111"/>
      <c r="B48" s="112"/>
      <c r="C48" s="111"/>
      <c r="D48" s="114"/>
      <c r="E48" s="116"/>
      <c r="F48" s="124"/>
      <c r="G48" s="117"/>
      <c r="H48" s="24"/>
      <c r="I48" s="24"/>
      <c r="J48" s="24"/>
      <c r="K48" s="29"/>
      <c r="L48" s="24"/>
      <c r="M48" s="24"/>
      <c r="N48" s="25"/>
      <c r="O48" s="24"/>
      <c r="P48" s="24"/>
      <c r="Q48" s="25"/>
      <c r="R48" s="24"/>
      <c r="S48" s="24"/>
      <c r="T48" s="25"/>
      <c r="U48" s="24"/>
      <c r="V48" s="24"/>
      <c r="W48" s="25"/>
      <c r="X48" s="24"/>
      <c r="Y48" s="24"/>
      <c r="Z48" s="25"/>
      <c r="AA48" s="24"/>
      <c r="AB48" s="24"/>
      <c r="AC48" s="25"/>
      <c r="AD48" s="24"/>
      <c r="AE48" s="24"/>
      <c r="AF48" s="25"/>
      <c r="AG48" s="24"/>
      <c r="AH48" s="24"/>
      <c r="AI48" s="25"/>
      <c r="AJ48" s="24"/>
      <c r="AK48" s="24"/>
      <c r="AL48" s="25"/>
      <c r="AM48" s="24"/>
      <c r="AN48" s="24"/>
      <c r="AO48" s="25"/>
      <c r="AP48" s="24"/>
      <c r="AQ48" s="24"/>
      <c r="AR48" s="25"/>
      <c r="AS48" s="24"/>
      <c r="AT48" s="24"/>
      <c r="AU48" s="25"/>
      <c r="AV48" s="24"/>
      <c r="AW48" s="24"/>
      <c r="AX48" s="25"/>
      <c r="AY48" s="24"/>
      <c r="AZ48" s="24"/>
      <c r="BA48" s="25"/>
      <c r="BB48" s="24"/>
      <c r="BC48" s="24"/>
      <c r="BD48" s="25"/>
      <c r="BE48" s="24"/>
      <c r="BF48" s="24"/>
      <c r="BG48" s="25"/>
      <c r="BH48" s="24"/>
      <c r="BI48" s="24"/>
      <c r="BJ48" s="25"/>
      <c r="BK48" s="24"/>
      <c r="BL48" s="24"/>
      <c r="BM48" s="25"/>
      <c r="BN48" s="24"/>
      <c r="BO48" s="24"/>
      <c r="BP48" s="25"/>
      <c r="BQ48" s="24"/>
      <c r="BR48" s="24"/>
      <c r="BS48" s="49"/>
      <c r="BT48" s="50"/>
      <c r="BU48" s="50"/>
      <c r="BV48" s="49"/>
      <c r="BW48" s="50"/>
      <c r="BX48" s="24"/>
      <c r="BY48" s="8"/>
      <c r="CD48" s="8"/>
      <c r="CE48" s="8"/>
      <c r="CF48" s="8"/>
      <c r="CG48" s="8"/>
    </row>
    <row r="49" spans="1:85" x14ac:dyDescent="0.15">
      <c r="A49" s="123"/>
      <c r="B49" s="107"/>
      <c r="C49" s="107"/>
      <c r="D49" s="107"/>
      <c r="E49" s="116"/>
      <c r="F49" s="124"/>
      <c r="G49" s="117"/>
      <c r="H49" s="24"/>
      <c r="I49" s="24"/>
      <c r="J49" s="24"/>
      <c r="K49" s="29"/>
      <c r="L49" s="24"/>
      <c r="M49" s="24"/>
      <c r="N49" s="25"/>
      <c r="O49" s="24"/>
      <c r="P49" s="24"/>
      <c r="Q49" s="25"/>
      <c r="R49" s="24"/>
      <c r="S49" s="24"/>
      <c r="T49" s="25"/>
      <c r="U49" s="24"/>
      <c r="V49" s="24"/>
      <c r="W49" s="25"/>
      <c r="X49" s="24"/>
      <c r="Y49" s="24"/>
      <c r="Z49" s="25"/>
      <c r="AA49" s="24"/>
      <c r="AB49" s="24"/>
      <c r="AC49" s="25"/>
      <c r="AD49" s="24"/>
      <c r="AE49" s="24"/>
      <c r="AF49" s="25"/>
      <c r="AG49" s="24"/>
      <c r="AH49" s="24"/>
      <c r="AI49" s="25"/>
      <c r="AJ49" s="24"/>
      <c r="AK49" s="24"/>
      <c r="AL49" s="25"/>
      <c r="AM49" s="24"/>
      <c r="AN49" s="24"/>
      <c r="AO49" s="25"/>
      <c r="AP49" s="24"/>
      <c r="AQ49" s="24"/>
      <c r="AR49" s="25"/>
      <c r="AS49" s="24"/>
      <c r="AT49" s="24"/>
      <c r="AU49" s="25"/>
      <c r="AV49" s="24"/>
      <c r="AW49" s="24"/>
      <c r="AX49" s="25"/>
      <c r="AY49" s="24"/>
      <c r="AZ49" s="24"/>
      <c r="BA49" s="25"/>
      <c r="BB49" s="24"/>
      <c r="BC49" s="24"/>
      <c r="BD49" s="25"/>
      <c r="BE49" s="24"/>
      <c r="BF49" s="24"/>
      <c r="BG49" s="25"/>
      <c r="BH49" s="24"/>
      <c r="BI49" s="24"/>
      <c r="BJ49" s="25"/>
      <c r="BK49" s="24"/>
      <c r="BL49" s="24"/>
      <c r="BM49" s="25"/>
      <c r="BN49" s="24"/>
      <c r="BO49" s="24"/>
      <c r="BP49" s="25"/>
      <c r="BQ49" s="24"/>
      <c r="BR49" s="24"/>
      <c r="BS49" s="49"/>
      <c r="BT49" s="50"/>
      <c r="BU49" s="50"/>
      <c r="BV49" s="49"/>
      <c r="BW49" s="50"/>
      <c r="BX49" s="24"/>
      <c r="BY49" s="19"/>
      <c r="CD49" s="19"/>
      <c r="CE49" s="19"/>
      <c r="CF49" s="19"/>
      <c r="CG49" s="19"/>
    </row>
    <row r="50" spans="1:85" x14ac:dyDescent="0.15">
      <c r="A50" s="123"/>
      <c r="B50" s="107"/>
      <c r="C50" s="107"/>
      <c r="D50" s="107"/>
      <c r="E50" s="116"/>
      <c r="F50" s="124"/>
      <c r="G50" s="117"/>
      <c r="H50" s="24"/>
      <c r="I50" s="24"/>
      <c r="J50" s="24"/>
      <c r="K50" s="29"/>
      <c r="L50" s="24"/>
      <c r="M50" s="24"/>
      <c r="N50" s="25"/>
      <c r="O50" s="24"/>
      <c r="P50" s="24"/>
      <c r="Q50" s="25"/>
      <c r="R50" s="24"/>
      <c r="S50" s="24"/>
      <c r="T50" s="25"/>
      <c r="U50" s="24"/>
      <c r="V50" s="24"/>
      <c r="W50" s="25"/>
      <c r="X50" s="24"/>
      <c r="Y50" s="24"/>
      <c r="Z50" s="25"/>
      <c r="AA50" s="24"/>
      <c r="AB50" s="24"/>
      <c r="AC50" s="25"/>
      <c r="AD50" s="24"/>
      <c r="AE50" s="24"/>
      <c r="AF50" s="25"/>
      <c r="AG50" s="24"/>
      <c r="AH50" s="24"/>
      <c r="AI50" s="25"/>
      <c r="AJ50" s="24"/>
      <c r="AK50" s="24"/>
      <c r="AL50" s="25"/>
      <c r="AM50" s="24"/>
      <c r="AN50" s="24"/>
      <c r="AO50" s="25"/>
      <c r="AP50" s="24"/>
      <c r="AQ50" s="24"/>
      <c r="AR50" s="25"/>
      <c r="AS50" s="24"/>
      <c r="AT50" s="24"/>
      <c r="AU50" s="25"/>
      <c r="AV50" s="24"/>
      <c r="AW50" s="24"/>
      <c r="AX50" s="25"/>
      <c r="AY50" s="24"/>
      <c r="AZ50" s="24"/>
      <c r="BA50" s="25"/>
      <c r="BB50" s="24"/>
      <c r="BC50" s="24"/>
      <c r="BD50" s="25"/>
      <c r="BE50" s="24"/>
      <c r="BF50" s="24"/>
      <c r="BG50" s="25"/>
      <c r="BH50" s="24"/>
      <c r="BI50" s="24"/>
      <c r="BJ50" s="25"/>
      <c r="BK50" s="24"/>
      <c r="BL50" s="24"/>
      <c r="BM50" s="25"/>
      <c r="BN50" s="24"/>
      <c r="BO50" s="24"/>
      <c r="BP50" s="25"/>
      <c r="BQ50" s="24"/>
      <c r="BR50" s="24"/>
      <c r="BS50" s="49"/>
      <c r="BT50" s="50"/>
      <c r="BU50" s="50"/>
      <c r="BV50" s="49"/>
      <c r="BW50" s="50"/>
      <c r="BX50" s="24"/>
      <c r="BY50" s="19"/>
      <c r="CD50" s="19"/>
      <c r="CE50" s="19"/>
      <c r="CF50" s="19"/>
      <c r="CG50" s="19"/>
    </row>
    <row r="51" spans="1:85" x14ac:dyDescent="0.15">
      <c r="A51" s="123"/>
      <c r="B51" s="107"/>
      <c r="C51" s="107"/>
      <c r="D51" s="107"/>
      <c r="E51" s="116"/>
      <c r="F51" s="124"/>
      <c r="G51" s="117"/>
      <c r="H51" s="24"/>
      <c r="I51" s="24"/>
      <c r="J51" s="24"/>
      <c r="K51" s="29"/>
      <c r="L51" s="24"/>
      <c r="M51" s="24"/>
      <c r="N51" s="25"/>
      <c r="O51" s="24"/>
      <c r="P51" s="24"/>
      <c r="Q51" s="25"/>
      <c r="R51" s="24"/>
      <c r="S51" s="24"/>
      <c r="T51" s="25"/>
      <c r="U51" s="24"/>
      <c r="V51" s="24"/>
      <c r="W51" s="25"/>
      <c r="X51" s="24"/>
      <c r="Y51" s="24"/>
      <c r="Z51" s="25"/>
      <c r="AA51" s="24"/>
      <c r="AB51" s="24"/>
      <c r="AC51" s="25"/>
      <c r="AD51" s="24"/>
      <c r="AE51" s="24"/>
      <c r="AF51" s="25"/>
      <c r="AG51" s="24"/>
      <c r="AH51" s="24"/>
      <c r="AI51" s="25"/>
      <c r="AJ51" s="24"/>
      <c r="AK51" s="24"/>
      <c r="AL51" s="25"/>
      <c r="AM51" s="24"/>
      <c r="AN51" s="24"/>
      <c r="AO51" s="25"/>
      <c r="AP51" s="24"/>
      <c r="AQ51" s="24"/>
      <c r="AR51" s="25"/>
      <c r="AS51" s="24"/>
      <c r="AT51" s="24"/>
      <c r="AU51" s="25"/>
      <c r="AV51" s="24"/>
      <c r="AW51" s="24"/>
      <c r="AX51" s="25"/>
      <c r="AY51" s="24"/>
      <c r="AZ51" s="24"/>
      <c r="BA51" s="25"/>
      <c r="BB51" s="24"/>
      <c r="BC51" s="24"/>
      <c r="BD51" s="25"/>
      <c r="BE51" s="24"/>
      <c r="BF51" s="24"/>
      <c r="BG51" s="25"/>
      <c r="BH51" s="24"/>
      <c r="BI51" s="24"/>
      <c r="BJ51" s="25"/>
      <c r="BK51" s="24"/>
      <c r="BL51" s="24"/>
      <c r="BM51" s="25"/>
      <c r="BN51" s="24"/>
      <c r="BO51" s="24"/>
      <c r="BP51" s="25"/>
      <c r="BQ51" s="24"/>
      <c r="BR51" s="24"/>
      <c r="BS51" s="49"/>
      <c r="BT51" s="50"/>
      <c r="BU51" s="50"/>
      <c r="BV51" s="49"/>
      <c r="BW51" s="50"/>
      <c r="BX51" s="24"/>
      <c r="BY51" s="19"/>
      <c r="CD51" s="19"/>
      <c r="CE51" s="19"/>
      <c r="CF51" s="19"/>
      <c r="CG51" s="19"/>
    </row>
    <row r="52" spans="1:85" x14ac:dyDescent="0.15">
      <c r="A52" s="107"/>
      <c r="B52" s="107"/>
      <c r="C52" s="107"/>
      <c r="D52" s="107"/>
      <c r="E52" s="116"/>
      <c r="F52" s="124"/>
      <c r="G52" s="117"/>
      <c r="H52" s="24"/>
      <c r="I52" s="24"/>
      <c r="J52" s="24"/>
      <c r="K52" s="29"/>
      <c r="L52" s="24"/>
      <c r="M52" s="24"/>
      <c r="N52" s="25"/>
      <c r="O52" s="24"/>
      <c r="P52" s="24"/>
      <c r="Q52" s="25"/>
      <c r="R52" s="24"/>
      <c r="S52" s="24"/>
      <c r="T52" s="25"/>
      <c r="U52" s="24"/>
      <c r="V52" s="24"/>
      <c r="W52" s="25"/>
      <c r="X52" s="24"/>
      <c r="Y52" s="24"/>
      <c r="Z52" s="25"/>
      <c r="AA52" s="24"/>
      <c r="AB52" s="24"/>
      <c r="AC52" s="25"/>
      <c r="AD52" s="24"/>
      <c r="AE52" s="24"/>
      <c r="AF52" s="25"/>
      <c r="AG52" s="24"/>
      <c r="AH52" s="24"/>
      <c r="AI52" s="25"/>
      <c r="AJ52" s="24"/>
      <c r="AK52" s="24"/>
      <c r="AL52" s="25"/>
      <c r="AM52" s="24"/>
      <c r="AN52" s="24"/>
      <c r="AO52" s="25"/>
      <c r="AP52" s="24"/>
      <c r="AQ52" s="24"/>
      <c r="AR52" s="25"/>
      <c r="AS52" s="24"/>
      <c r="AT52" s="24"/>
      <c r="AU52" s="25"/>
      <c r="AV52" s="24"/>
      <c r="AW52" s="24"/>
      <c r="AX52" s="25"/>
      <c r="AY52" s="24"/>
      <c r="AZ52" s="24"/>
      <c r="BA52" s="25"/>
      <c r="BB52" s="24"/>
      <c r="BC52" s="24"/>
      <c r="BD52" s="25"/>
      <c r="BE52" s="24"/>
      <c r="BF52" s="24"/>
      <c r="BG52" s="25"/>
      <c r="BH52" s="24"/>
      <c r="BI52" s="24"/>
      <c r="BJ52" s="25"/>
      <c r="BK52" s="24"/>
      <c r="BL52" s="24"/>
      <c r="BM52" s="25"/>
      <c r="BN52" s="24"/>
      <c r="BO52" s="24"/>
      <c r="BP52" s="25"/>
      <c r="BQ52" s="24"/>
      <c r="BR52" s="24"/>
      <c r="BS52" s="49"/>
      <c r="BT52" s="50"/>
      <c r="BU52" s="50"/>
      <c r="BV52" s="49"/>
      <c r="BW52" s="50"/>
      <c r="BX52" s="24"/>
      <c r="BY52" s="19"/>
      <c r="CD52" s="19"/>
      <c r="CE52" s="19"/>
      <c r="CF52" s="19"/>
      <c r="CG52" s="19"/>
    </row>
    <row r="53" spans="1:85" x14ac:dyDescent="0.15">
      <c r="A53" s="107"/>
      <c r="B53" s="107"/>
      <c r="C53" s="107"/>
      <c r="D53" s="107"/>
      <c r="E53" s="116"/>
      <c r="F53" s="124"/>
      <c r="G53" s="117"/>
      <c r="H53" s="24"/>
      <c r="I53" s="24"/>
      <c r="J53" s="24"/>
      <c r="K53" s="29"/>
      <c r="L53" s="24"/>
      <c r="M53" s="24"/>
      <c r="N53" s="25"/>
      <c r="O53" s="24"/>
      <c r="P53" s="24"/>
      <c r="Q53" s="25"/>
      <c r="R53" s="24"/>
      <c r="S53" s="24"/>
      <c r="T53" s="25"/>
      <c r="U53" s="24"/>
      <c r="V53" s="24"/>
      <c r="W53" s="25"/>
      <c r="X53" s="24"/>
      <c r="Y53" s="24"/>
      <c r="Z53" s="25"/>
      <c r="AA53" s="24"/>
      <c r="AB53" s="24"/>
      <c r="AC53" s="25"/>
      <c r="AD53" s="24"/>
      <c r="AE53" s="24"/>
      <c r="AF53" s="25"/>
      <c r="AG53" s="24"/>
      <c r="AH53" s="24"/>
      <c r="AI53" s="25"/>
      <c r="AJ53" s="24"/>
      <c r="AK53" s="24"/>
      <c r="AL53" s="25"/>
      <c r="AM53" s="24"/>
      <c r="AN53" s="24"/>
      <c r="AO53" s="25"/>
      <c r="AP53" s="24"/>
      <c r="AQ53" s="24"/>
      <c r="AR53" s="25"/>
      <c r="AS53" s="24"/>
      <c r="AT53" s="24"/>
      <c r="AU53" s="25"/>
      <c r="AV53" s="24"/>
      <c r="AW53" s="24"/>
      <c r="AX53" s="25"/>
      <c r="AY53" s="24"/>
      <c r="AZ53" s="24"/>
      <c r="BA53" s="25"/>
      <c r="BB53" s="24"/>
      <c r="BC53" s="24"/>
      <c r="BD53" s="25"/>
      <c r="BE53" s="24"/>
      <c r="BF53" s="24"/>
      <c r="BG53" s="25"/>
      <c r="BH53" s="24"/>
      <c r="BI53" s="24"/>
      <c r="BJ53" s="25"/>
      <c r="BK53" s="24"/>
      <c r="BL53" s="24"/>
      <c r="BM53" s="25"/>
      <c r="BN53" s="24"/>
      <c r="BO53" s="24"/>
      <c r="BP53" s="25"/>
      <c r="BQ53" s="24"/>
      <c r="BR53" s="24"/>
      <c r="BS53" s="49"/>
      <c r="BT53" s="50"/>
      <c r="BU53" s="50"/>
      <c r="BV53" s="49"/>
      <c r="BW53" s="50"/>
      <c r="BX53" s="24"/>
      <c r="BY53" s="19"/>
      <c r="CD53" s="19"/>
      <c r="CE53" s="19"/>
      <c r="CF53" s="19"/>
      <c r="CG53" s="19"/>
    </row>
    <row r="54" spans="1:85" x14ac:dyDescent="0.15">
      <c r="A54" s="12" t="s">
        <v>2</v>
      </c>
      <c r="B54" s="12"/>
      <c r="C54" s="12">
        <f>SUM(C25:C53)</f>
        <v>2139</v>
      </c>
      <c r="D54" s="54">
        <f>SUM(D25:D53)</f>
        <v>883</v>
      </c>
      <c r="E54" s="13">
        <f>C54/D54</f>
        <v>2.4224235560588903</v>
      </c>
      <c r="F54" s="14"/>
      <c r="G54" s="14"/>
      <c r="H54" s="15">
        <f>SUM(H25:H50)</f>
        <v>2138.9999999999995</v>
      </c>
      <c r="I54" s="15"/>
      <c r="J54" s="16">
        <f>SUM(J25:J53)</f>
        <v>17.96723918364231</v>
      </c>
      <c r="K54" s="42">
        <f>SUM(K25:K53)</f>
        <v>3022</v>
      </c>
      <c r="L54" s="17"/>
      <c r="M54" s="17"/>
      <c r="N54" s="27">
        <f>K54/(($C$81*(1-$C$81))+((K54-1)*($C$81*$C$81)*((1-$C$81)*(1-$C$81))*($B$81*$B$81)))</f>
        <v>5732.1774678917654</v>
      </c>
      <c r="O54" s="17"/>
      <c r="P54" s="17"/>
      <c r="Q54" s="27">
        <f>$K54/(($C$82*(1-$C$82))+(($K54-1)*($C$82*$C$82)*((1-$C$82)*(1-$C$82))*($B$82*$B$82)))</f>
        <v>6948.2516557919989</v>
      </c>
      <c r="R54" s="17"/>
      <c r="S54" s="17"/>
      <c r="T54" s="27">
        <f>$K54/(($C$83*(1-$C$83))+(($K54-1)*($C$83*$C$83)*((1-$C$83)*(1-$C$83))*($B$83*$B$83)))</f>
        <v>8130.1949430032446</v>
      </c>
      <c r="U54" s="17"/>
      <c r="V54" s="17"/>
      <c r="W54" s="27">
        <f>$K54/(($C$84*(1-$C$84))+(($K54-1)*($C$84*$C$84)*((1-$C$84)*(1-$C$84))*($B$84*$B$84)))</f>
        <v>9233.175502813765</v>
      </c>
      <c r="X54" s="17"/>
      <c r="Y54" s="17"/>
      <c r="Z54" s="27">
        <f>$K54/(($C$85*(1-$C$85))+(($K54-1)*($C$85*$C$85)*((1-$C$85)*(1-$C$85))*($B$85*$B$85)))</f>
        <v>10225.586395027587</v>
      </c>
      <c r="AA54" s="17"/>
      <c r="AB54" s="17"/>
      <c r="AC54" s="27">
        <f>$K54/(($C$86*(1-$C$86))+(($K54-1)*($C$86*$C$86)*((1-$C$86)*(1-$C$86))*($B$86*$B$86)))</f>
        <v>11089.639491232727</v>
      </c>
      <c r="AD54" s="17"/>
      <c r="AE54" s="17"/>
      <c r="AF54" s="27">
        <f>$K54/(($C$87*(1-$C$87))+(($K54-1)*($C$87*$C$87)*((1-$C$87)*(1-$C$87))*($B$87*$B$87)))</f>
        <v>11820.677337901465</v>
      </c>
      <c r="AG54" s="17"/>
      <c r="AH54" s="17"/>
      <c r="AI54" s="27">
        <f>$K54/(($C$88*(1-$C$88))+(($K54-1)*($C$88*$C$88)*((1-$C$88)*(1-$C$88))*($B$88*$B$88)))</f>
        <v>12424.328479309765</v>
      </c>
      <c r="AJ54" s="17"/>
      <c r="AK54" s="17"/>
      <c r="AL54" s="27">
        <f>$K54/(($C$89*(1-$C$89))+(($K54-1)*($C$89*$C$89)*((1-$C$89)*(1-$C$89))*($B$89*$B$89)))</f>
        <v>12912.869504674758</v>
      </c>
      <c r="AM54" s="17"/>
      <c r="AN54" s="17"/>
      <c r="AO54" s="27">
        <f>$K54/(($C$90*(1-$C$90))+(($K54-1)*($C$90*$C$90)*((1-$C$90)*(1-$C$90))*($B$90*$B$90)))</f>
        <v>13301.858382496024</v>
      </c>
      <c r="AP54" s="17"/>
      <c r="AQ54" s="17"/>
      <c r="AR54" s="27">
        <f>$K54/(($C$91*(1-$C$91))+(($K54-1)*($C$91*$C$91)*((1-$C$91)*(1-$C$91))*($B$91*$B$91)))</f>
        <v>13607.581359030613</v>
      </c>
      <c r="AS54" s="17"/>
      <c r="AT54" s="17"/>
      <c r="AU54" s="27">
        <f>$K54/(($C$92*(1-$C$92))+(($K54-1)*($C$92*$C$92)*((1-$C$92)*(1-$C$92))*($B$92*$B$92)))</f>
        <v>13845.416612793526</v>
      </c>
      <c r="AV54" s="17"/>
      <c r="AW54" s="17"/>
      <c r="AX54" s="27">
        <f>$K54/(($C$93*(1-$C$93))+(($K54-1)*($C$93*$C$93)*((1-$C$93)*(1-$C$93))*($B$93*$B$93)))</f>
        <v>14028.970843289344</v>
      </c>
      <c r="AY54" s="17"/>
      <c r="AZ54" s="17"/>
      <c r="BA54" s="27">
        <f>$K54/(($C$94*(1-$C$94))+(($K54-1)*($C$94*$C$94)*((1-$C$94)*(1-$C$94))*($B$94*$B$94)))</f>
        <v>14169.763469937012</v>
      </c>
      <c r="BB54" s="17"/>
      <c r="BC54" s="17"/>
      <c r="BD54" s="27">
        <f>$K54/(($C$95*(1-$C$95))+(($K54-1)*($C$95*$C$95)*((1-$C$95)*(1-$C$95))*($B$95*$B$95)))</f>
        <v>14277.24750911597</v>
      </c>
      <c r="BE54" s="17"/>
      <c r="BF54" s="17"/>
      <c r="BG54" s="27">
        <f>$K54/(($C$96*(1-$C$96))+(($K54-1)*($C$96*$C$96)*((1-$C$96)*(1-$C$96))*($B$96*$B$96)))</f>
        <v>14359.007546274512</v>
      </c>
      <c r="BH54" s="17"/>
      <c r="BI54" s="17"/>
      <c r="BJ54" s="27">
        <f>$K54/(($C$97*(1-$C$97))+(($K54-1)*($C$97*$C$97)*((1-$C$97)*(1-$C$97))*($B$97*$B$97)))</f>
        <v>14421.029541838934</v>
      </c>
      <c r="BK54" s="17"/>
      <c r="BL54" s="17"/>
      <c r="BM54" s="27">
        <f>$K54/(($C$98*(1-$C$98))+(($K54-1)*($C$98*$C$98)*((1-$C$98)*(1-$C$98))*($B$98*$B$98)))</f>
        <v>14467.980615361081</v>
      </c>
      <c r="BN54" s="17"/>
      <c r="BO54" s="17"/>
      <c r="BP54" s="27">
        <f>$K54/(($C$99*(1-$C$99))+(($K54-1)*($C$99*$C$99)*((1-$C$99)*(1-$C$99))*($B$99*$B$99)))</f>
        <v>14503.466869672518</v>
      </c>
      <c r="BQ54" s="17"/>
      <c r="BR54" s="17"/>
      <c r="BS54" s="51">
        <f>$K54/(($C$100*(1-$C$100))+(($K54-1)*($C$100*$C$100)*((1-$C$100)*(1-$C$100))*($B$100*$B$100)))</f>
        <v>14530.259889340083</v>
      </c>
      <c r="BT54" s="52"/>
      <c r="BU54" s="52"/>
      <c r="BV54" s="51"/>
      <c r="BW54" s="52"/>
      <c r="BX54" s="17"/>
      <c r="BY54" s="17"/>
      <c r="BZ54" s="12"/>
      <c r="CA54" s="12"/>
      <c r="CB54" s="12"/>
      <c r="CC54" s="12"/>
      <c r="CD54" s="17"/>
      <c r="CE54" s="17"/>
      <c r="CF54" s="17"/>
      <c r="CG54" s="17"/>
    </row>
    <row r="55" spans="1:85" x14ac:dyDescent="0.15">
      <c r="A55" s="12" t="s">
        <v>3</v>
      </c>
      <c r="B55" s="12"/>
      <c r="C55" s="12"/>
      <c r="D55" s="12"/>
      <c r="E55" s="13"/>
      <c r="F55" s="14"/>
      <c r="G55" s="14"/>
      <c r="H55" s="13"/>
      <c r="I55" s="12"/>
      <c r="J55" s="17"/>
      <c r="K55" s="27"/>
      <c r="L55" s="17"/>
      <c r="M55" s="17"/>
      <c r="N55" s="27"/>
      <c r="O55" s="17"/>
      <c r="P55" s="17"/>
      <c r="Q55" s="27"/>
      <c r="R55" s="17"/>
      <c r="S55" s="17"/>
      <c r="T55" s="27"/>
      <c r="U55" s="17"/>
      <c r="V55" s="17"/>
      <c r="W55" s="27"/>
      <c r="X55" s="17"/>
      <c r="Y55" s="17"/>
      <c r="Z55" s="27"/>
      <c r="AA55" s="17"/>
      <c r="AB55" s="17"/>
      <c r="AC55" s="27"/>
      <c r="AD55" s="17"/>
      <c r="AE55" s="17"/>
      <c r="AF55" s="27"/>
      <c r="AG55" s="17"/>
      <c r="AH55" s="17"/>
      <c r="AI55" s="27"/>
      <c r="AJ55" s="17"/>
      <c r="AK55" s="17"/>
      <c r="AL55" s="27"/>
      <c r="AM55" s="17"/>
      <c r="AN55" s="17"/>
      <c r="AO55" s="27"/>
      <c r="AP55" s="17"/>
      <c r="AQ55" s="17"/>
      <c r="AR55" s="27"/>
      <c r="AS55" s="17"/>
      <c r="AT55" s="17"/>
      <c r="AU55" s="27"/>
      <c r="AV55" s="17"/>
      <c r="AW55" s="17"/>
      <c r="AX55" s="27"/>
      <c r="AY55" s="17"/>
      <c r="AZ55" s="17"/>
      <c r="BA55" s="27"/>
      <c r="BB55" s="17"/>
      <c r="BC55" s="17"/>
      <c r="BD55" s="27"/>
      <c r="BE55" s="17"/>
      <c r="BF55" s="17"/>
      <c r="BG55" s="27"/>
      <c r="BH55" s="17"/>
      <c r="BI55" s="17"/>
      <c r="BJ55" s="27"/>
      <c r="BK55" s="17"/>
      <c r="BL55" s="17"/>
      <c r="BM55" s="27"/>
      <c r="BN55" s="17"/>
      <c r="BO55" s="17"/>
      <c r="BP55" s="27"/>
      <c r="BQ55" s="17"/>
      <c r="BR55" s="17"/>
      <c r="BS55" s="51"/>
      <c r="BT55" s="52"/>
      <c r="BU55" s="52"/>
      <c r="BV55" s="51"/>
      <c r="BW55" s="52"/>
      <c r="BX55" s="17"/>
      <c r="BY55" s="17"/>
      <c r="BZ55" s="12"/>
      <c r="CA55" s="12"/>
      <c r="CB55" s="12"/>
      <c r="CC55" s="12"/>
      <c r="CD55" s="17"/>
      <c r="CE55" s="17"/>
      <c r="CF55" s="17"/>
      <c r="CG55" s="17"/>
    </row>
    <row r="56" spans="1:85" x14ac:dyDescent="0.15"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11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41"/>
      <c r="BX56" s="41"/>
      <c r="BY56" s="41"/>
      <c r="BZ56" s="41"/>
      <c r="CA56" s="41"/>
      <c r="CB56" s="8"/>
      <c r="CC56" s="8"/>
      <c r="CD56" s="8"/>
      <c r="CE56" s="8"/>
      <c r="CF56" s="8"/>
      <c r="CG56" s="8"/>
    </row>
    <row r="57" spans="1:85" x14ac:dyDescent="0.15"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41"/>
      <c r="BX57" s="41"/>
      <c r="BY57" s="41"/>
      <c r="BZ57" s="41"/>
      <c r="CA57" s="41"/>
      <c r="CB57" s="8"/>
      <c r="CC57" s="8"/>
      <c r="CD57" s="8"/>
      <c r="CE57" s="8"/>
      <c r="CF57" s="8"/>
      <c r="CG57" s="8"/>
    </row>
    <row r="58" spans="1:85" x14ac:dyDescent="0.15"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41"/>
      <c r="BX58" s="41"/>
      <c r="BY58" s="41"/>
      <c r="BZ58" s="41"/>
      <c r="CA58" s="41"/>
      <c r="CB58" s="8"/>
      <c r="CC58" s="8"/>
      <c r="CD58" s="8"/>
      <c r="CE58" s="8"/>
      <c r="CF58" s="8"/>
      <c r="CG58" s="8"/>
    </row>
    <row r="59" spans="1:85" ht="16" x14ac:dyDescent="0.2">
      <c r="A59" s="67" t="s">
        <v>86</v>
      </c>
      <c r="B59" s="68"/>
      <c r="C59" s="68"/>
      <c r="D59" s="68"/>
      <c r="E59" s="69"/>
      <c r="F59" s="69"/>
      <c r="G59"/>
      <c r="H59"/>
      <c r="I59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41"/>
      <c r="BX59" s="41"/>
      <c r="BY59" s="41"/>
      <c r="BZ59" s="41"/>
      <c r="CA59" s="41"/>
      <c r="CB59" s="8"/>
      <c r="CC59" s="8"/>
      <c r="CD59" s="8"/>
      <c r="CE59" s="8"/>
      <c r="CF59" s="8"/>
      <c r="CG59" s="8"/>
    </row>
    <row r="60" spans="1:85" x14ac:dyDescent="0.15">
      <c r="A60" s="70"/>
      <c r="B60" s="71"/>
      <c r="C60" s="71"/>
      <c r="D60" s="71"/>
      <c r="E60" s="72"/>
      <c r="F60" s="72"/>
      <c r="G60"/>
      <c r="H60"/>
      <c r="I60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41"/>
      <c r="BX60" s="41"/>
      <c r="BY60" s="41"/>
      <c r="BZ60" s="41"/>
      <c r="CA60" s="41"/>
      <c r="CB60" s="8"/>
      <c r="CC60" s="8"/>
      <c r="CD60" s="8"/>
      <c r="CE60" s="8"/>
      <c r="CF60" s="8"/>
      <c r="CG60" s="8"/>
    </row>
    <row r="61" spans="1:85" ht="20" x14ac:dyDescent="0.2">
      <c r="A61" s="73" t="s">
        <v>51</v>
      </c>
      <c r="B61" s="74"/>
      <c r="C61" s="75"/>
      <c r="D61" s="71"/>
      <c r="E61" s="72"/>
      <c r="F61" s="72"/>
      <c r="G61"/>
      <c r="H61"/>
      <c r="I61"/>
      <c r="N61" s="8"/>
      <c r="O61" s="43"/>
      <c r="P61" s="4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41"/>
      <c r="BX61" s="41"/>
      <c r="BY61" s="41"/>
      <c r="BZ61" s="41"/>
      <c r="CA61" s="41"/>
      <c r="CB61" s="8"/>
      <c r="CC61" s="8"/>
      <c r="CD61" s="8"/>
      <c r="CE61" s="8"/>
      <c r="CF61" s="8"/>
      <c r="CG61" s="8"/>
    </row>
    <row r="62" spans="1:85" ht="20" x14ac:dyDescent="0.2">
      <c r="A62" s="58" t="s">
        <v>0</v>
      </c>
      <c r="B62" s="76">
        <f>((1/0.000000000155125)*LN((0.000000000155125*($C$101/(1-$C$101))*$B$12*$B$11*0.5)+1))/1000000</f>
        <v>62.377362945964684</v>
      </c>
      <c r="C62" s="71"/>
      <c r="D62" s="71"/>
      <c r="E62" s="72"/>
      <c r="F62" s="72"/>
      <c r="G62"/>
      <c r="H62"/>
      <c r="I62"/>
      <c r="N62" s="8"/>
      <c r="O62" s="43"/>
      <c r="P62" s="4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41"/>
      <c r="BX62" s="41"/>
      <c r="BY62" s="41"/>
      <c r="BZ62" s="41"/>
      <c r="CA62" s="41"/>
      <c r="CB62" s="8"/>
      <c r="CC62" s="8"/>
      <c r="CD62" s="8"/>
      <c r="CE62" s="8"/>
      <c r="CF62" s="8"/>
      <c r="CG62" s="8"/>
    </row>
    <row r="63" spans="1:85" ht="20" x14ac:dyDescent="0.2">
      <c r="A63" s="58" t="s">
        <v>1</v>
      </c>
      <c r="B63" s="76">
        <f>$B$62*SQRT((1/($C$101^2*(1-$C$101)^2*SUM($BS$25:$BS$53))))</f>
        <v>2.4954541069281375</v>
      </c>
      <c r="C63" s="71"/>
      <c r="D63" s="71"/>
      <c r="E63" s="72"/>
      <c r="F63" s="72"/>
      <c r="G63"/>
      <c r="H63"/>
      <c r="I63"/>
      <c r="N63" s="8"/>
      <c r="O63" s="43"/>
      <c r="P63" s="4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41"/>
      <c r="BX63" s="41"/>
      <c r="BY63" s="41"/>
      <c r="BZ63" s="41"/>
      <c r="CA63" s="41"/>
      <c r="CB63" s="8"/>
      <c r="CC63" s="8"/>
      <c r="CD63" s="8"/>
      <c r="CE63" s="8"/>
      <c r="CF63" s="8"/>
      <c r="CG63" s="8"/>
    </row>
    <row r="64" spans="1:85" ht="20" x14ac:dyDescent="0.2">
      <c r="A64" s="58" t="s">
        <v>44</v>
      </c>
      <c r="B64" s="76">
        <f>B101*100</f>
        <v>0.26030776903641711</v>
      </c>
      <c r="C64" s="71" t="s">
        <v>11</v>
      </c>
      <c r="D64" s="71"/>
      <c r="E64" s="72"/>
      <c r="F64" s="72"/>
      <c r="G64"/>
      <c r="H64"/>
      <c r="I64"/>
      <c r="N64" s="8"/>
      <c r="O64" s="43"/>
      <c r="P64" s="4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41"/>
      <c r="BX64" s="41"/>
      <c r="BY64" s="41"/>
      <c r="BZ64" s="41"/>
      <c r="CA64" s="41"/>
      <c r="CB64" s="8"/>
      <c r="CC64" s="8"/>
      <c r="CD64" s="8"/>
      <c r="CE64" s="8"/>
      <c r="CF64" s="8"/>
      <c r="CG64" s="8"/>
    </row>
    <row r="65" spans="1:85" ht="20" x14ac:dyDescent="0.2">
      <c r="A65" s="71"/>
      <c r="B65" s="71"/>
      <c r="C65" s="71"/>
      <c r="D65" s="71"/>
      <c r="E65" s="72"/>
      <c r="F65" s="72"/>
      <c r="G65"/>
      <c r="H65"/>
      <c r="I65"/>
      <c r="N65" s="8"/>
      <c r="O65" s="43"/>
      <c r="P65" s="4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41"/>
      <c r="BX65" s="41"/>
      <c r="BY65" s="41"/>
      <c r="BZ65" s="41"/>
      <c r="CA65" s="41"/>
      <c r="CB65" s="8"/>
      <c r="CC65" s="8"/>
      <c r="CD65" s="8"/>
      <c r="CE65" s="8"/>
      <c r="CF65" s="8"/>
      <c r="CG65" s="8"/>
    </row>
    <row r="66" spans="1:85" ht="20" x14ac:dyDescent="0.2">
      <c r="A66" s="73" t="s">
        <v>52</v>
      </c>
      <c r="B66" s="76"/>
      <c r="C66" s="71"/>
      <c r="D66" s="71"/>
      <c r="E66" s="72"/>
      <c r="F66" s="72"/>
      <c r="G66"/>
      <c r="H66" s="43"/>
      <c r="I66" s="43"/>
      <c r="M66" s="43"/>
      <c r="N66" s="8"/>
      <c r="O66" s="43"/>
      <c r="P66" s="4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41"/>
      <c r="BX66" s="41"/>
      <c r="BY66" s="41"/>
      <c r="BZ66" s="41"/>
      <c r="CA66" s="41"/>
      <c r="CB66" s="8"/>
      <c r="CC66" s="8"/>
      <c r="CD66" s="8"/>
      <c r="CE66" s="8"/>
      <c r="CF66" s="8"/>
      <c r="CG66" s="8"/>
    </row>
    <row r="67" spans="1:85" ht="20" x14ac:dyDescent="0.2">
      <c r="A67" s="58" t="s">
        <v>0</v>
      </c>
      <c r="B67" s="76">
        <f>((1/0.000000000155125)*LN((0.000000000155125*$E$54*$B$12*$B$11*0.5)+1))/1000000</f>
        <v>62.377442300005853</v>
      </c>
      <c r="C67" s="71"/>
      <c r="D67" s="71"/>
      <c r="E67" s="72"/>
      <c r="F67" s="72"/>
      <c r="G67"/>
      <c r="H67"/>
      <c r="I67"/>
      <c r="N67" s="8"/>
      <c r="O67" s="43"/>
      <c r="P67" s="4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41"/>
      <c r="BX67" s="41"/>
      <c r="BY67" s="41"/>
      <c r="BZ67" s="41"/>
      <c r="CA67" s="41"/>
      <c r="CB67" s="8"/>
      <c r="CC67" s="8"/>
      <c r="CD67" s="8"/>
      <c r="CE67" s="8"/>
      <c r="CF67" s="8"/>
      <c r="CG67" s="8"/>
    </row>
    <row r="68" spans="1:85" ht="20" x14ac:dyDescent="0.2">
      <c r="A68" s="58" t="s">
        <v>1</v>
      </c>
      <c r="B68" s="76">
        <f>B67*SQRT((1/$C$54)+(1/$D$54))</f>
        <v>2.495106278747405</v>
      </c>
      <c r="C68" s="71"/>
      <c r="D68" s="71"/>
      <c r="E68" s="72"/>
      <c r="F68" s="72"/>
      <c r="G68"/>
      <c r="H68"/>
      <c r="I68"/>
      <c r="N68" s="8"/>
      <c r="O68" s="43"/>
      <c r="P68" s="43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41"/>
      <c r="BX68" s="41"/>
      <c r="BY68" s="41"/>
      <c r="BZ68" s="41"/>
      <c r="CA68" s="41"/>
      <c r="CB68" s="8"/>
      <c r="CC68" s="8"/>
      <c r="CD68" s="8"/>
      <c r="CE68" s="8"/>
      <c r="CF68" s="8"/>
      <c r="CG68" s="8"/>
    </row>
    <row r="69" spans="1:85" ht="20" x14ac:dyDescent="0.2">
      <c r="A69" s="58"/>
      <c r="B69" s="76"/>
      <c r="C69" s="71"/>
      <c r="D69" s="71"/>
      <c r="E69" s="72"/>
      <c r="F69" s="72"/>
      <c r="G69"/>
      <c r="H69"/>
      <c r="I69"/>
      <c r="N69" s="8"/>
      <c r="O69" s="43"/>
      <c r="P69" s="43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41"/>
      <c r="BX69" s="41"/>
      <c r="BY69" s="41"/>
      <c r="BZ69" s="41"/>
      <c r="CA69" s="41"/>
      <c r="CB69" s="8"/>
      <c r="CC69" s="8"/>
      <c r="CD69" s="8"/>
      <c r="CE69" s="8"/>
      <c r="CF69" s="8"/>
      <c r="CG69" s="8"/>
    </row>
    <row r="70" spans="1:85" ht="20" x14ac:dyDescent="0.2">
      <c r="A70" s="70" t="s">
        <v>99</v>
      </c>
      <c r="B70" s="100">
        <f>COUNT(C25:C53)</f>
        <v>21</v>
      </c>
      <c r="C70" s="71"/>
      <c r="D70" s="71"/>
      <c r="E70" s="72"/>
      <c r="F70" s="72"/>
      <c r="G70"/>
      <c r="H70"/>
      <c r="I70"/>
      <c r="N70" s="8"/>
      <c r="O70" s="43"/>
      <c r="P70" s="4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41"/>
      <c r="BX70" s="41"/>
      <c r="BY70" s="41"/>
      <c r="BZ70" s="41"/>
      <c r="CA70" s="41"/>
      <c r="CB70" s="8"/>
      <c r="CC70" s="8"/>
      <c r="CD70" s="8"/>
      <c r="CE70" s="8"/>
      <c r="CF70" s="8"/>
      <c r="CG70" s="8"/>
    </row>
    <row r="71" spans="1:85" ht="20" x14ac:dyDescent="0.2">
      <c r="A71" s="77" t="s">
        <v>4</v>
      </c>
      <c r="B71" s="78">
        <f>$J$54</f>
        <v>17.96723918364231</v>
      </c>
      <c r="C71" s="79" t="s">
        <v>5</v>
      </c>
      <c r="D71" s="59">
        <f>B70-1</f>
        <v>20</v>
      </c>
      <c r="E71" s="71" t="s">
        <v>6</v>
      </c>
      <c r="F71" s="71"/>
      <c r="G71"/>
      <c r="H71"/>
      <c r="I71"/>
      <c r="N71" s="8"/>
      <c r="O71" s="43"/>
      <c r="P71" s="43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41"/>
      <c r="BX71" s="41"/>
      <c r="BY71" s="41"/>
      <c r="BZ71" s="41"/>
      <c r="CA71" s="41"/>
      <c r="CB71" s="8"/>
      <c r="CC71" s="8"/>
      <c r="CD71" s="8"/>
      <c r="CE71" s="8"/>
      <c r="CF71" s="8"/>
      <c r="CG71" s="8"/>
    </row>
    <row r="72" spans="1:85" ht="20" x14ac:dyDescent="0.2">
      <c r="A72" s="77" t="s">
        <v>10</v>
      </c>
      <c r="B72" s="78">
        <f>(CHIDIST(B71,D71))*100</f>
        <v>58.956644476161848</v>
      </c>
      <c r="C72" s="71" t="s">
        <v>11</v>
      </c>
      <c r="D72" s="71"/>
      <c r="E72" s="72"/>
      <c r="F72" s="72"/>
      <c r="G72"/>
      <c r="H72"/>
      <c r="I72"/>
      <c r="N72" s="8"/>
      <c r="O72" s="43"/>
      <c r="P72" s="43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41"/>
      <c r="BX72" s="41"/>
      <c r="BY72" s="41"/>
      <c r="BZ72" s="41"/>
      <c r="CA72" s="41"/>
      <c r="CB72" s="8"/>
      <c r="CC72" s="8"/>
      <c r="CD72" s="8"/>
      <c r="CE72" s="8"/>
      <c r="CF72" s="8"/>
      <c r="CG72" s="8"/>
    </row>
    <row r="73" spans="1:85" ht="20" x14ac:dyDescent="0.2">
      <c r="A73" s="77"/>
      <c r="B73" s="78"/>
      <c r="C73" s="71"/>
      <c r="D73" s="71"/>
      <c r="E73" s="72"/>
      <c r="F73" s="72"/>
      <c r="G73"/>
      <c r="H73"/>
      <c r="I73"/>
      <c r="N73" s="8"/>
      <c r="O73" s="43"/>
      <c r="P73" s="4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41"/>
      <c r="BX73" s="41"/>
      <c r="BY73" s="41"/>
      <c r="BZ73" s="41"/>
      <c r="CA73" s="41"/>
      <c r="CB73" s="8"/>
      <c r="CC73" s="8"/>
      <c r="CD73" s="8"/>
      <c r="CE73" s="8"/>
      <c r="CF73" s="8"/>
      <c r="CG73" s="8"/>
    </row>
    <row r="74" spans="1:85" ht="20" x14ac:dyDescent="0.2">
      <c r="A74" s="80"/>
      <c r="B74" s="81"/>
      <c r="C74" s="81"/>
      <c r="D74" s="81"/>
      <c r="E74" s="82"/>
      <c r="F74" s="82"/>
      <c r="G74"/>
      <c r="H74"/>
      <c r="I74"/>
      <c r="N74" s="8"/>
      <c r="O74" s="43"/>
      <c r="P74" s="43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41"/>
      <c r="BX74" s="41"/>
      <c r="BY74" s="41"/>
      <c r="BZ74" s="41"/>
      <c r="CA74" s="41"/>
      <c r="CB74" s="8"/>
      <c r="CC74" s="8"/>
      <c r="CD74" s="8"/>
      <c r="CE74" s="8"/>
      <c r="CF74" s="8"/>
      <c r="CG74" s="8"/>
    </row>
    <row r="75" spans="1:85" ht="20" x14ac:dyDescent="0.2">
      <c r="N75" s="8"/>
      <c r="O75" s="43"/>
      <c r="P75" s="43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41"/>
      <c r="BX75" s="41"/>
      <c r="BY75" s="41"/>
      <c r="BZ75" s="41"/>
      <c r="CA75" s="41"/>
      <c r="CB75" s="8"/>
      <c r="CC75" s="8"/>
      <c r="CD75" s="8"/>
      <c r="CE75" s="8"/>
      <c r="CF75" s="8"/>
      <c r="CG75" s="8"/>
    </row>
    <row r="76" spans="1:85" ht="20" x14ac:dyDescent="0.2">
      <c r="N76" s="8"/>
      <c r="O76" s="43"/>
      <c r="P76" s="43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41"/>
      <c r="BX76" s="41"/>
      <c r="BY76" s="41"/>
      <c r="BZ76" s="41"/>
      <c r="CA76" s="41"/>
      <c r="CB76" s="8"/>
      <c r="CC76" s="8"/>
      <c r="CD76" s="8"/>
      <c r="CE76" s="8"/>
      <c r="CF76" s="8"/>
      <c r="CG76" s="8"/>
    </row>
    <row r="77" spans="1:85" ht="20" x14ac:dyDescent="0.2">
      <c r="N77" s="8"/>
      <c r="O77" s="43"/>
      <c r="P77" s="4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41"/>
      <c r="BX77" s="41"/>
      <c r="BY77" s="41"/>
      <c r="BZ77" s="41"/>
      <c r="CA77" s="41"/>
      <c r="CB77" s="8"/>
      <c r="CC77" s="8"/>
      <c r="CD77" s="8"/>
      <c r="CE77" s="8"/>
      <c r="CF77" s="8"/>
      <c r="CG77" s="8"/>
    </row>
    <row r="78" spans="1:85" ht="20" x14ac:dyDescent="0.2">
      <c r="N78" s="8"/>
      <c r="O78" s="43"/>
      <c r="P78" s="4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41"/>
      <c r="BX78" s="41"/>
      <c r="BY78" s="41"/>
      <c r="BZ78" s="41"/>
      <c r="CA78" s="41"/>
      <c r="CB78" s="8"/>
      <c r="CC78" s="8"/>
      <c r="CD78" s="8"/>
      <c r="CE78" s="8"/>
      <c r="CF78" s="8"/>
      <c r="CG78" s="8"/>
    </row>
    <row r="79" spans="1:85" ht="20" x14ac:dyDescent="0.2">
      <c r="A79" s="9" t="s">
        <v>38</v>
      </c>
      <c r="N79" s="8"/>
      <c r="O79" s="43"/>
      <c r="P79" s="43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41"/>
      <c r="BX79" s="41"/>
      <c r="BY79" s="41"/>
      <c r="BZ79" s="41"/>
      <c r="CA79" s="41"/>
      <c r="CB79" s="8"/>
      <c r="CC79" s="8"/>
      <c r="CD79" s="8"/>
      <c r="CE79" s="8"/>
      <c r="CF79" s="8"/>
      <c r="CG79" s="8"/>
    </row>
    <row r="80" spans="1:85" ht="20" x14ac:dyDescent="0.2">
      <c r="A80" s="10" t="s">
        <v>39</v>
      </c>
      <c r="B80" s="10" t="s">
        <v>40</v>
      </c>
      <c r="C80" s="10" t="s">
        <v>41</v>
      </c>
      <c r="D80" s="11" t="s">
        <v>47</v>
      </c>
      <c r="E80" s="32" t="s">
        <v>48</v>
      </c>
      <c r="N80" s="8"/>
      <c r="O80" s="43"/>
      <c r="P80" s="43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41"/>
      <c r="BX80" s="41"/>
      <c r="BY80" s="41"/>
      <c r="BZ80" s="41"/>
      <c r="CA80" s="41"/>
      <c r="CB80" s="8"/>
      <c r="CC80" s="8"/>
      <c r="CD80" s="8"/>
      <c r="CE80" s="8"/>
      <c r="CF80" s="8"/>
      <c r="CG80" s="8"/>
    </row>
    <row r="81" spans="1:85" ht="20" x14ac:dyDescent="0.2">
      <c r="A81" s="7" t="s">
        <v>42</v>
      </c>
      <c r="B81" s="7">
        <f>0.6*(STDEV(M25:M53))</f>
        <v>4.9794057441949618E-2</v>
      </c>
      <c r="C81" s="7">
        <f>C54/K54</f>
        <v>0.70780939774983453</v>
      </c>
      <c r="D81" s="30"/>
      <c r="E81" s="30"/>
      <c r="N81" s="8"/>
      <c r="O81" s="43"/>
      <c r="P81" s="43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41"/>
      <c r="BX81" s="41"/>
      <c r="BY81" s="41"/>
      <c r="BZ81" s="41"/>
      <c r="CA81" s="41"/>
      <c r="CB81" s="8"/>
      <c r="CC81" s="8"/>
      <c r="CD81" s="8"/>
      <c r="CE81" s="8"/>
      <c r="CF81" s="8"/>
      <c r="CG81" s="8"/>
    </row>
    <row r="82" spans="1:85" ht="20" x14ac:dyDescent="0.2">
      <c r="A82" s="7">
        <v>1</v>
      </c>
      <c r="B82" s="7">
        <f>B81*(SQRT(SUM(O25:O53)/SUM(N25:N53)))</f>
        <v>4.2008036076384925E-2</v>
      </c>
      <c r="C82" s="7">
        <f>SUM(P25:P53)/SUM(N25:N53)</f>
        <v>0.70774162457260814</v>
      </c>
      <c r="D82" s="31">
        <f t="shared" ref="D82:E101" si="72">B82-B81</f>
        <v>-7.7860213655646937E-3</v>
      </c>
      <c r="E82" s="31">
        <f t="shared" si="72"/>
        <v>-6.7773177226393422E-5</v>
      </c>
      <c r="N82" s="8"/>
      <c r="O82" s="43"/>
      <c r="P82" s="43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41"/>
      <c r="BX82" s="41"/>
      <c r="BY82" s="41"/>
      <c r="BZ82" s="41"/>
      <c r="CA82" s="41"/>
      <c r="CB82" s="8"/>
      <c r="CC82" s="8"/>
      <c r="CD82" s="8"/>
      <c r="CE82" s="8"/>
      <c r="CF82" s="8"/>
      <c r="CG82" s="8"/>
    </row>
    <row r="83" spans="1:85" ht="20" x14ac:dyDescent="0.2">
      <c r="A83" s="7">
        <v>2</v>
      </c>
      <c r="B83" s="7">
        <f>$B$82*(SQRT(SUM(R25:R53)/SUM(Q25:Q53)))</f>
        <v>3.5716053923770426E-2</v>
      </c>
      <c r="C83" s="7">
        <f>SUM(S25:S53)/SUM(Q25:Q53)</f>
        <v>0.70776017164311433</v>
      </c>
      <c r="D83" s="31">
        <f t="shared" si="72"/>
        <v>-6.2919821526144989E-3</v>
      </c>
      <c r="E83" s="31">
        <f t="shared" si="72"/>
        <v>1.8547070506191865E-5</v>
      </c>
      <c r="N83" s="8"/>
      <c r="O83" s="43"/>
      <c r="P83" s="43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41"/>
      <c r="BX83" s="41"/>
      <c r="BY83" s="41"/>
      <c r="BZ83" s="41"/>
      <c r="CA83" s="41"/>
      <c r="CB83" s="8"/>
      <c r="CC83" s="8"/>
      <c r="CD83" s="8"/>
      <c r="CE83" s="8"/>
      <c r="CF83" s="8"/>
      <c r="CG83" s="8"/>
    </row>
    <row r="84" spans="1:85" ht="20" x14ac:dyDescent="0.2">
      <c r="A84" s="7">
        <v>3</v>
      </c>
      <c r="B84" s="7">
        <f>$B$83*(SQRT(SUM(U25:U53)/SUM(T25:T53)))</f>
        <v>3.0531349795410424E-2</v>
      </c>
      <c r="C84" s="7">
        <f>SUM(V25:V53)/SUM(T25:T53)</f>
        <v>0.7077733144107019</v>
      </c>
      <c r="D84" s="31">
        <f t="shared" si="72"/>
        <v>-5.1847041283600015E-3</v>
      </c>
      <c r="E84" s="31">
        <f t="shared" si="72"/>
        <v>1.3142767587570603E-5</v>
      </c>
      <c r="N84" s="8"/>
      <c r="O84" s="43"/>
      <c r="P84" s="43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41"/>
      <c r="BX84" s="41"/>
      <c r="BY84" s="41"/>
      <c r="BZ84" s="41"/>
      <c r="CA84" s="41"/>
      <c r="CB84" s="8"/>
      <c r="CC84" s="8"/>
      <c r="CD84" s="8"/>
      <c r="CE84" s="8"/>
      <c r="CF84" s="8"/>
      <c r="CG84" s="8"/>
    </row>
    <row r="85" spans="1:85" ht="20" x14ac:dyDescent="0.2">
      <c r="A85" s="7">
        <v>4</v>
      </c>
      <c r="B85" s="7">
        <f>$B$84*(SQRT(SUM(X25:X53)/SUM(W25:W53)))</f>
        <v>2.619976623836176E-2</v>
      </c>
      <c r="C85" s="7">
        <f>SUM(Y25:Y53)/SUM(W25:W53)</f>
        <v>0.70778276907497639</v>
      </c>
      <c r="D85" s="31">
        <f t="shared" si="72"/>
        <v>-4.3315835570486641E-3</v>
      </c>
      <c r="E85" s="31">
        <f t="shared" si="72"/>
        <v>9.4546642744886E-6</v>
      </c>
      <c r="N85" s="8"/>
      <c r="O85" s="43"/>
      <c r="P85" s="43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41"/>
      <c r="BX85" s="41"/>
      <c r="BY85" s="41"/>
      <c r="BZ85" s="41"/>
      <c r="CA85" s="41"/>
      <c r="CB85" s="8"/>
      <c r="CC85" s="8"/>
      <c r="CD85" s="8"/>
      <c r="CE85" s="8"/>
      <c r="CF85" s="8"/>
      <c r="CG85" s="8"/>
    </row>
    <row r="86" spans="1:85" ht="20" x14ac:dyDescent="0.2">
      <c r="A86" s="7">
        <v>5</v>
      </c>
      <c r="B86" s="7">
        <f>$B$85*(SQRT(SUM(AA25:AA53)/SUM(Z25:Z53)))</f>
        <v>2.254508083922354E-2</v>
      </c>
      <c r="C86" s="7">
        <f>SUM(AB25:AB53)/SUM(Z25:Z53)</f>
        <v>0.70778964955498525</v>
      </c>
      <c r="D86" s="31">
        <f t="shared" si="72"/>
        <v>-3.6546853991382203E-3</v>
      </c>
      <c r="E86" s="31">
        <f t="shared" si="72"/>
        <v>6.880480008852885E-6</v>
      </c>
      <c r="N86" s="8"/>
      <c r="O86" s="43"/>
      <c r="P86" s="43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41"/>
      <c r="BX86" s="41"/>
      <c r="BY86" s="41"/>
      <c r="BZ86" s="41"/>
      <c r="CA86" s="41"/>
      <c r="CB86" s="8"/>
      <c r="CC86" s="8"/>
      <c r="CD86" s="8"/>
      <c r="CE86" s="8"/>
      <c r="CF86" s="8"/>
      <c r="CG86" s="8"/>
    </row>
    <row r="87" spans="1:85" ht="20" x14ac:dyDescent="0.2">
      <c r="A87" s="7">
        <v>6</v>
      </c>
      <c r="B87" s="7">
        <f>$B$86*(SQRT(SUM(AD25:AD53)/SUM(AC25:AC53)))</f>
        <v>1.9439407986145851E-2</v>
      </c>
      <c r="C87" s="7">
        <f>SUM(AE25:AE53)/SUM(AC25:AC53)</f>
        <v>0.7077946992547709</v>
      </c>
      <c r="D87" s="31">
        <f t="shared" si="72"/>
        <v>-3.1056728530776886E-3</v>
      </c>
      <c r="E87" s="31">
        <f t="shared" si="72"/>
        <v>5.0496997856530612E-6</v>
      </c>
      <c r="N87" s="8"/>
      <c r="O87" s="43"/>
      <c r="P87" s="43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41"/>
      <c r="BX87" s="41"/>
      <c r="BY87" s="41"/>
      <c r="BZ87" s="41"/>
      <c r="CA87" s="41"/>
      <c r="CB87" s="8"/>
      <c r="CC87" s="8"/>
      <c r="CD87" s="8"/>
      <c r="CE87" s="8"/>
      <c r="CF87" s="8"/>
      <c r="CG87" s="8"/>
    </row>
    <row r="88" spans="1:85" ht="20" x14ac:dyDescent="0.2">
      <c r="A88" s="7">
        <v>7</v>
      </c>
      <c r="B88" s="7">
        <f>$B$87*(SQRT(SUM(AG25:AG53)/SUM(AF25:AF53)))</f>
        <v>1.6786441082580383E-2</v>
      </c>
      <c r="C88" s="7">
        <f>SUM(AH25:AH53)/SUM(AF25:AF53)</f>
        <v>0.70779842851427166</v>
      </c>
      <c r="D88" s="31">
        <f t="shared" si="72"/>
        <v>-2.6529669035654686E-3</v>
      </c>
      <c r="E88" s="31">
        <f t="shared" si="72"/>
        <v>3.7292595007620832E-6</v>
      </c>
      <c r="N88" s="8"/>
      <c r="O88" s="43"/>
      <c r="P88" s="43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41"/>
      <c r="BX88" s="41"/>
      <c r="BY88" s="41"/>
      <c r="BZ88" s="41"/>
      <c r="CA88" s="41"/>
      <c r="CB88" s="8"/>
      <c r="CC88" s="8"/>
      <c r="CD88" s="8"/>
      <c r="CE88" s="8"/>
      <c r="CF88" s="8"/>
      <c r="CG88" s="8"/>
    </row>
    <row r="89" spans="1:85" ht="20" x14ac:dyDescent="0.2">
      <c r="A89" s="7">
        <v>8</v>
      </c>
      <c r="B89" s="7">
        <f>$B$88*(SQRT(SUM(AJ25:AJ53)/SUM(AI25:AI53)))</f>
        <v>1.4511441658345725E-2</v>
      </c>
      <c r="C89" s="7">
        <f>SUM(AK25:AK53)/SUM(AI25:AI53)</f>
        <v>0.70780119538299957</v>
      </c>
      <c r="D89" s="31">
        <f t="shared" si="72"/>
        <v>-2.2749994242346576E-3</v>
      </c>
      <c r="E89" s="31">
        <f t="shared" si="72"/>
        <v>2.766868727910321E-6</v>
      </c>
      <c r="N89" s="8"/>
      <c r="O89" s="43"/>
      <c r="P89" s="43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41"/>
      <c r="BX89" s="41"/>
      <c r="BY89" s="41"/>
      <c r="BZ89" s="41"/>
      <c r="CA89" s="41"/>
      <c r="CB89" s="8"/>
      <c r="CC89" s="8"/>
      <c r="CD89" s="8"/>
      <c r="CE89" s="8"/>
      <c r="CF89" s="8"/>
      <c r="CG89" s="8"/>
    </row>
    <row r="90" spans="1:85" ht="20" x14ac:dyDescent="0.2">
      <c r="A90" s="7">
        <v>9</v>
      </c>
      <c r="B90" s="7">
        <f>$B$89*(SQRT(SUM(AM25:AM53)/SUM(AL25:AL53)))</f>
        <v>1.2554984050162334E-2</v>
      </c>
      <c r="C90" s="7">
        <f>SUM(AN25:AN53)/SUM(AL25:AL53)</f>
        <v>0.70780325529662158</v>
      </c>
      <c r="D90" s="31">
        <f t="shared" si="72"/>
        <v>-1.9564576081833908E-3</v>
      </c>
      <c r="E90" s="31">
        <f t="shared" si="72"/>
        <v>2.0599136220100789E-6</v>
      </c>
      <c r="N90" s="8"/>
      <c r="O90" s="43"/>
      <c r="P90" s="43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41"/>
      <c r="BX90" s="41"/>
      <c r="BY90" s="41"/>
      <c r="BZ90" s="41"/>
      <c r="CA90" s="41"/>
      <c r="CB90" s="8"/>
      <c r="CC90" s="8"/>
      <c r="CD90" s="8"/>
      <c r="CE90" s="8"/>
      <c r="CF90" s="8"/>
      <c r="CG90" s="8"/>
    </row>
    <row r="91" spans="1:85" ht="20" x14ac:dyDescent="0.2">
      <c r="A91" s="7">
        <v>10</v>
      </c>
      <c r="B91" s="7">
        <f>$B$90*(SQRT(SUM(AP25:AP53)/SUM(AO25:AO53)))</f>
        <v>1.086889093898843E-2</v>
      </c>
      <c r="C91" s="7">
        <f>SUM(AQ25:AQ53)/SUM(AO25:AO53)</f>
        <v>0.70780479282921904</v>
      </c>
      <c r="D91" s="31">
        <f t="shared" si="72"/>
        <v>-1.6860931111739048E-3</v>
      </c>
      <c r="E91" s="31">
        <f t="shared" si="72"/>
        <v>1.5375325974620324E-6</v>
      </c>
      <c r="N91" s="8"/>
      <c r="O91" s="43"/>
      <c r="P91" s="43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41"/>
      <c r="BX91" s="41"/>
      <c r="BY91" s="41"/>
      <c r="BZ91" s="41"/>
      <c r="CA91" s="41"/>
      <c r="CB91" s="8"/>
      <c r="CC91" s="8"/>
      <c r="CD91" s="8"/>
      <c r="CE91" s="8"/>
      <c r="CF91" s="8"/>
      <c r="CG91" s="8"/>
    </row>
    <row r="92" spans="1:85" x14ac:dyDescent="0.15">
      <c r="A92" s="7">
        <v>11</v>
      </c>
      <c r="B92" s="7">
        <f>$B$91*(SQRT(SUM(AS25:AS53)/SUM(AR25:AR53)))</f>
        <v>9.4134979241184656E-3</v>
      </c>
      <c r="C92" s="7">
        <f>SUM(AT25:AT53)/SUM(AR25:AR53)</f>
        <v>0.70780594265761787</v>
      </c>
      <c r="D92" s="31">
        <f t="shared" si="72"/>
        <v>-1.4553930148699639E-3</v>
      </c>
      <c r="E92" s="31">
        <f t="shared" si="72"/>
        <v>1.1498283988276015E-6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41"/>
      <c r="BX92" s="41"/>
      <c r="BY92" s="41"/>
      <c r="BZ92" s="41"/>
      <c r="CA92" s="41"/>
      <c r="CB92" s="8"/>
      <c r="CC92" s="8"/>
      <c r="CD92" s="8"/>
      <c r="CE92" s="8"/>
      <c r="CF92" s="8"/>
      <c r="CG92" s="8"/>
    </row>
    <row r="93" spans="1:85" x14ac:dyDescent="0.15">
      <c r="A93" s="7">
        <v>12</v>
      </c>
      <c r="B93" s="7">
        <f>$B$92*(SQRT(SUM(AV25:AV53)/SUM(AU25:AU53)))</f>
        <v>8.1557519028081227E-3</v>
      </c>
      <c r="C93" s="7">
        <f>SUM(AW25:AW53)/SUM(AU25:AU53)</f>
        <v>0.70780680378152883</v>
      </c>
      <c r="D93" s="31">
        <f t="shared" si="72"/>
        <v>-1.2577460213103429E-3</v>
      </c>
      <c r="E93" s="31">
        <f t="shared" si="72"/>
        <v>8.6112391095571894E-7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41"/>
      <c r="BX93" s="41"/>
      <c r="BY93" s="41"/>
      <c r="BZ93" s="41"/>
      <c r="CA93" s="41"/>
      <c r="CB93" s="8"/>
      <c r="CC93" s="8"/>
      <c r="CD93" s="8"/>
      <c r="CE93" s="8"/>
      <c r="CF93" s="8"/>
      <c r="CG93" s="8"/>
    </row>
    <row r="94" spans="1:85" x14ac:dyDescent="0.15">
      <c r="A94" s="7">
        <v>13</v>
      </c>
      <c r="B94" s="7">
        <f>$B$93*(SQRT(SUM(AY25:AY53)/SUM(AX25:AX53)))</f>
        <v>7.067848471725746E-3</v>
      </c>
      <c r="C94" s="7">
        <f>SUM(AZ25:AZ53)/SUM(AX25:AX53)</f>
        <v>0.70780744938508378</v>
      </c>
      <c r="D94" s="31">
        <f t="shared" si="72"/>
        <v>-1.0879034310823767E-3</v>
      </c>
      <c r="E94" s="31">
        <f t="shared" si="72"/>
        <v>6.4560355494958088E-7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41"/>
      <c r="BX94" s="41"/>
      <c r="BY94" s="41"/>
      <c r="BZ94" s="41"/>
      <c r="CA94" s="41"/>
      <c r="CB94" s="8"/>
      <c r="CC94" s="8"/>
      <c r="CD94" s="8"/>
      <c r="CE94" s="8"/>
      <c r="CF94" s="8"/>
      <c r="CG94" s="8"/>
    </row>
    <row r="95" spans="1:85" x14ac:dyDescent="0.15">
      <c r="A95" s="7">
        <v>14</v>
      </c>
      <c r="B95" s="7">
        <f>$B$94*(SQRT(SUM(BB25:BB53)/SUM(BA25:BA53)))</f>
        <v>6.1262275742608287E-3</v>
      </c>
      <c r="C95" s="7">
        <f>SUM(BC25:BC53)/SUM(BA25:BA53)</f>
        <v>0.70780793379943174</v>
      </c>
      <c r="D95" s="31">
        <f t="shared" si="72"/>
        <v>-9.4162089746491727E-4</v>
      </c>
      <c r="E95" s="31">
        <f t="shared" si="72"/>
        <v>4.8441434796764327E-7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41"/>
      <c r="BX95" s="41"/>
      <c r="BY95" s="41"/>
      <c r="BZ95" s="41"/>
      <c r="CA95" s="41"/>
      <c r="CB95" s="8"/>
      <c r="CC95" s="8"/>
      <c r="CD95" s="8"/>
      <c r="CE95" s="8"/>
      <c r="CF95" s="8"/>
      <c r="CG95" s="8"/>
    </row>
    <row r="96" spans="1:85" x14ac:dyDescent="0.15">
      <c r="A96" s="7">
        <v>15</v>
      </c>
      <c r="B96" s="7">
        <f>$B$95*(SQRT(SUM(BE25:BE53)/SUM(BD25:BD53)))</f>
        <v>5.310813630093645E-3</v>
      </c>
      <c r="C96" s="7">
        <f>SUM(BF25:BF53)/SUM(BD25:BD53)</f>
        <v>0.7078082974894947</v>
      </c>
      <c r="D96" s="31">
        <f t="shared" si="72"/>
        <v>-8.1541394416718375E-4</v>
      </c>
      <c r="E96" s="31">
        <f t="shared" si="72"/>
        <v>3.6369006295444706E-7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41"/>
      <c r="BX96" s="41"/>
      <c r="BY96" s="41"/>
      <c r="BZ96" s="41"/>
      <c r="CA96" s="41"/>
      <c r="CB96" s="8"/>
      <c r="CC96" s="8"/>
      <c r="CD96" s="8"/>
      <c r="CE96" s="8"/>
      <c r="CF96" s="8"/>
      <c r="CG96" s="8"/>
    </row>
    <row r="97" spans="1:85" x14ac:dyDescent="0.15">
      <c r="A97" s="7">
        <v>16</v>
      </c>
      <c r="B97" s="7">
        <f>$B$96*(SQRT(SUM(BH25:BH53)/SUM(BG25:BG53)))</f>
        <v>4.6044268742186124E-3</v>
      </c>
      <c r="C97" s="7">
        <f>SUM(BI25:BI53)/SUM(BG25:BG53)</f>
        <v>0.70780857066619873</v>
      </c>
      <c r="D97" s="31">
        <f t="shared" si="72"/>
        <v>-7.0638675587503252E-4</v>
      </c>
      <c r="E97" s="31">
        <f t="shared" si="72"/>
        <v>2.7317670403537164E-7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41"/>
      <c r="BX97" s="41"/>
      <c r="BY97" s="41"/>
      <c r="BZ97" s="41"/>
      <c r="CA97" s="41"/>
      <c r="CB97" s="8"/>
      <c r="CC97" s="8"/>
      <c r="CD97" s="8"/>
      <c r="CE97" s="8"/>
      <c r="CF97" s="8"/>
      <c r="CG97" s="8"/>
    </row>
    <row r="98" spans="1:85" x14ac:dyDescent="0.15">
      <c r="A98" s="7">
        <v>17</v>
      </c>
      <c r="B98" s="7">
        <f>$B$97*(SQRT(SUM(BK25:BK53)/SUM(BJ25:BJ53)))</f>
        <v>3.9923176772145436E-3</v>
      </c>
      <c r="C98" s="7">
        <f>SUM(BL25:BL53)/SUM(BJ25:BJ53)</f>
        <v>0.70780877592627622</v>
      </c>
      <c r="D98" s="31">
        <f t="shared" si="72"/>
        <v>-6.1210919700406888E-4</v>
      </c>
      <c r="E98" s="31">
        <f t="shared" si="72"/>
        <v>2.0526007749044339E-7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41"/>
      <c r="BX98" s="41"/>
      <c r="BY98" s="41"/>
      <c r="BZ98" s="41"/>
      <c r="CA98" s="41"/>
      <c r="CB98" s="8"/>
      <c r="CC98" s="8"/>
      <c r="CD98" s="8"/>
      <c r="CE98" s="8"/>
      <c r="CF98" s="8"/>
      <c r="CG98" s="8"/>
    </row>
    <row r="99" spans="1:85" x14ac:dyDescent="0.15">
      <c r="A99" s="7">
        <v>18</v>
      </c>
      <c r="B99" s="7">
        <f>$B$98*(SQRT(SUM(BN25:BN53)/SUM(BM25:BM53)))</f>
        <v>3.4617914260985688E-3</v>
      </c>
      <c r="C99" s="7">
        <f>SUM(BO25:BO53)/SUM(BM25:BM53)</f>
        <v>0.70780893019468305</v>
      </c>
      <c r="D99" s="31">
        <f t="shared" si="72"/>
        <v>-5.3052625111597472E-4</v>
      </c>
      <c r="E99" s="31">
        <f t="shared" si="72"/>
        <v>1.5426840682675191E-7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41"/>
      <c r="BX99" s="41"/>
      <c r="BY99" s="41"/>
      <c r="BZ99" s="41"/>
      <c r="CA99" s="41"/>
      <c r="CB99" s="8"/>
      <c r="CC99" s="8"/>
      <c r="CD99" s="8"/>
      <c r="CE99" s="8"/>
      <c r="CF99" s="8"/>
      <c r="CG99" s="8"/>
    </row>
    <row r="100" spans="1:85" x14ac:dyDescent="0.15">
      <c r="A100" s="7">
        <v>19</v>
      </c>
      <c r="B100" s="7">
        <f>$B$99*(SQRT(SUM(BN25:BN53)/SUM(BM25:BM53)))</f>
        <v>3.0017651015614693E-3</v>
      </c>
      <c r="C100" s="7">
        <f>SUM(BO25:BO53)/SUM(BM25:BM53)</f>
        <v>0.70780893019468305</v>
      </c>
      <c r="D100" s="31">
        <f t="shared" si="72"/>
        <v>-4.6002632453709955E-4</v>
      </c>
      <c r="E100" s="31">
        <f t="shared" si="72"/>
        <v>0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41"/>
      <c r="BX100" s="41"/>
      <c r="BY100" s="41"/>
      <c r="BZ100" s="41"/>
      <c r="CA100" s="41"/>
      <c r="CB100" s="8"/>
      <c r="CC100" s="8"/>
      <c r="CD100" s="8"/>
      <c r="CE100" s="8"/>
      <c r="CF100" s="8"/>
      <c r="CG100" s="8"/>
    </row>
    <row r="101" spans="1:85" x14ac:dyDescent="0.15">
      <c r="A101" s="7">
        <v>20</v>
      </c>
      <c r="B101" s="7">
        <f>$B$100*(SQRT(SUM(BT25:BT53)/SUM(BS25:BS53)))</f>
        <v>2.6030776903641713E-3</v>
      </c>
      <c r="C101" s="7">
        <f>SUM(BU25:BU53)/SUM(BS25:BS53)</f>
        <v>0.70780913337267548</v>
      </c>
      <c r="D101" s="31">
        <f t="shared" si="72"/>
        <v>-3.98687411197298E-4</v>
      </c>
      <c r="E101" s="31">
        <f t="shared" si="72"/>
        <v>2.0317799243052548E-7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41"/>
      <c r="BX101" s="41"/>
      <c r="BY101" s="41"/>
      <c r="BZ101" s="41"/>
      <c r="CA101" s="41"/>
      <c r="CB101" s="8"/>
      <c r="CC101" s="8"/>
      <c r="CD101" s="8"/>
      <c r="CE101" s="8"/>
      <c r="CF101" s="8"/>
      <c r="CG101" s="8"/>
    </row>
    <row r="102" spans="1:85" x14ac:dyDescent="0.15">
      <c r="A102" s="7"/>
      <c r="B102" s="7"/>
      <c r="C102" s="7"/>
      <c r="D102" s="31"/>
      <c r="E102" s="31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41"/>
      <c r="BX102" s="41"/>
      <c r="BY102" s="41"/>
      <c r="BZ102" s="41"/>
      <c r="CA102" s="41"/>
      <c r="CB102" s="8"/>
      <c r="CC102" s="8"/>
      <c r="CD102" s="8"/>
      <c r="CE102" s="8"/>
      <c r="CF102" s="8"/>
      <c r="CG102" s="8"/>
    </row>
    <row r="103" spans="1:85" x14ac:dyDescent="0.15">
      <c r="A103" s="7"/>
      <c r="B103" s="7"/>
      <c r="C103" s="7"/>
      <c r="D103" s="31"/>
      <c r="E103" s="31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41"/>
      <c r="BX103" s="41"/>
      <c r="BY103" s="41"/>
      <c r="BZ103" s="41"/>
      <c r="CA103" s="41"/>
      <c r="CB103" s="8"/>
      <c r="CC103" s="8"/>
      <c r="CD103" s="8"/>
      <c r="CE103" s="8"/>
      <c r="CF103" s="8"/>
      <c r="CG103" s="8"/>
    </row>
    <row r="104" spans="1:85" x14ac:dyDescent="0.15">
      <c r="A104" s="7"/>
      <c r="B104" s="7"/>
      <c r="C104" s="7"/>
      <c r="D104" s="31"/>
      <c r="E104" s="31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41"/>
      <c r="BX104" s="41"/>
      <c r="BY104" s="41"/>
      <c r="BZ104" s="41"/>
      <c r="CA104" s="41"/>
      <c r="CB104" s="8"/>
      <c r="CC104" s="8"/>
      <c r="CD104" s="8"/>
      <c r="CE104" s="8"/>
      <c r="CF104" s="8"/>
      <c r="CG104" s="8"/>
    </row>
    <row r="105" spans="1:85" x14ac:dyDescent="0.15">
      <c r="A105" s="7"/>
      <c r="B105" s="7"/>
      <c r="C105" s="7"/>
      <c r="D105" s="31"/>
      <c r="E105" s="31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41"/>
      <c r="BX105" s="41"/>
      <c r="BY105" s="41"/>
      <c r="BZ105" s="41"/>
      <c r="CA105" s="41"/>
      <c r="CB105" s="8"/>
      <c r="CC105" s="8"/>
      <c r="CD105" s="8"/>
      <c r="CE105" s="8"/>
      <c r="CF105" s="8"/>
      <c r="CG105" s="8"/>
    </row>
    <row r="106" spans="1:85" x14ac:dyDescent="0.15">
      <c r="A106" s="7"/>
      <c r="B106" s="7"/>
      <c r="C106" s="7"/>
      <c r="D106" s="31"/>
      <c r="E106" s="31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41"/>
      <c r="BX106" s="41"/>
      <c r="BY106" s="41"/>
      <c r="BZ106" s="41"/>
      <c r="CA106" s="41"/>
      <c r="CB106" s="8"/>
      <c r="CC106" s="8"/>
      <c r="CD106" s="8"/>
      <c r="CE106" s="8"/>
      <c r="CF106" s="8"/>
      <c r="CG106" s="8"/>
    </row>
    <row r="107" spans="1:85" x14ac:dyDescent="0.15">
      <c r="A107" s="7"/>
      <c r="B107" s="7"/>
      <c r="C107" s="7"/>
      <c r="D107" s="31"/>
      <c r="E107" s="31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41"/>
      <c r="BX107" s="41"/>
      <c r="BY107" s="41"/>
      <c r="BZ107" s="41"/>
      <c r="CA107" s="41"/>
      <c r="CB107" s="8"/>
      <c r="CC107" s="8"/>
      <c r="CD107" s="8"/>
      <c r="CE107" s="8"/>
      <c r="CF107" s="8"/>
      <c r="CG107" s="8"/>
    </row>
    <row r="108" spans="1:85" x14ac:dyDescent="0.15">
      <c r="A108" s="7"/>
      <c r="B108" s="7"/>
      <c r="C108" s="7"/>
      <c r="D108" s="31"/>
      <c r="E108" s="31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41"/>
      <c r="BX108" s="41"/>
      <c r="BY108" s="41"/>
      <c r="BZ108" s="41"/>
      <c r="CA108" s="41"/>
      <c r="CB108" s="8"/>
      <c r="CC108" s="8"/>
      <c r="CD108" s="8"/>
      <c r="CE108" s="8"/>
      <c r="CF108" s="8"/>
      <c r="CG108" s="8"/>
    </row>
    <row r="109" spans="1:85" x14ac:dyDescent="0.15">
      <c r="A109" s="7"/>
      <c r="B109" s="7"/>
      <c r="C109" s="7"/>
      <c r="D109" s="31"/>
      <c r="E109" s="31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41"/>
      <c r="BX109" s="41"/>
      <c r="BY109" s="41"/>
      <c r="BZ109" s="41"/>
      <c r="CA109" s="41"/>
      <c r="CB109" s="8"/>
      <c r="CC109" s="8"/>
      <c r="CD109" s="8"/>
      <c r="CE109" s="8"/>
      <c r="CF109" s="8"/>
      <c r="CG109" s="8"/>
    </row>
    <row r="110" spans="1:85" x14ac:dyDescent="0.15">
      <c r="A110" s="7"/>
      <c r="B110" s="7"/>
      <c r="C110" s="7"/>
      <c r="D110" s="31"/>
      <c r="E110" s="31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41"/>
      <c r="BX110" s="41"/>
      <c r="BY110" s="41"/>
      <c r="BZ110" s="41"/>
      <c r="CA110" s="41"/>
      <c r="CB110" s="8"/>
      <c r="CC110" s="8"/>
      <c r="CD110" s="8"/>
      <c r="CE110" s="8"/>
      <c r="CF110" s="8"/>
      <c r="CG110" s="8"/>
    </row>
    <row r="111" spans="1:85" x14ac:dyDescent="0.15">
      <c r="A111" s="7"/>
      <c r="B111" s="7"/>
      <c r="C111" s="7"/>
      <c r="D111" s="31"/>
      <c r="E111" s="31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41"/>
      <c r="BX111" s="41"/>
      <c r="BY111" s="41"/>
      <c r="BZ111" s="41"/>
      <c r="CA111" s="41"/>
      <c r="CB111" s="8"/>
      <c r="CC111" s="8"/>
      <c r="CD111" s="8"/>
      <c r="CE111" s="8"/>
      <c r="CF111" s="8"/>
      <c r="CG111" s="8"/>
    </row>
    <row r="112" spans="1:85" x14ac:dyDescent="0.15">
      <c r="A112" s="7"/>
      <c r="B112" s="7"/>
      <c r="C112" s="7"/>
      <c r="D112" s="31"/>
      <c r="E112" s="31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41"/>
      <c r="BX112" s="41"/>
      <c r="BY112" s="41"/>
      <c r="BZ112" s="41"/>
      <c r="CA112" s="41"/>
      <c r="CB112" s="8"/>
      <c r="CC112" s="8"/>
      <c r="CD112" s="8"/>
      <c r="CE112" s="8"/>
      <c r="CF112" s="8"/>
      <c r="CG112" s="8"/>
    </row>
    <row r="113" spans="1:85" x14ac:dyDescent="0.15">
      <c r="A113" s="7"/>
      <c r="B113" s="7"/>
      <c r="C113" s="7"/>
      <c r="D113" s="31"/>
      <c r="E113" s="31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41"/>
      <c r="BX113" s="41"/>
      <c r="BY113" s="41"/>
      <c r="BZ113" s="41"/>
      <c r="CA113" s="41"/>
      <c r="CB113" s="8"/>
      <c r="CC113" s="8"/>
      <c r="CD113" s="8"/>
      <c r="CE113" s="8"/>
      <c r="CF113" s="8"/>
      <c r="CG113" s="8"/>
    </row>
    <row r="114" spans="1:85" x14ac:dyDescent="0.15">
      <c r="A114" s="7"/>
      <c r="B114" s="7"/>
      <c r="C114" s="7"/>
      <c r="D114" s="31"/>
      <c r="E114" s="31"/>
    </row>
    <row r="115" spans="1:85" x14ac:dyDescent="0.15">
      <c r="A115" s="7"/>
      <c r="B115" s="7"/>
      <c r="C115" s="7"/>
      <c r="D115" s="31"/>
      <c r="E115" s="31"/>
    </row>
    <row r="116" spans="1:85" x14ac:dyDescent="0.15">
      <c r="A116" s="7"/>
      <c r="B116" s="7"/>
      <c r="C116" s="7"/>
      <c r="D116" s="31"/>
      <c r="E116" s="31"/>
    </row>
    <row r="117" spans="1:85" x14ac:dyDescent="0.15">
      <c r="A117" s="7"/>
      <c r="B117" s="7"/>
      <c r="C117" s="7"/>
      <c r="D117" s="31"/>
      <c r="E117" s="31"/>
    </row>
    <row r="118" spans="1:85" x14ac:dyDescent="0.15">
      <c r="A118" s="7"/>
      <c r="B118" s="7"/>
      <c r="C118" s="7"/>
      <c r="D118" s="31"/>
      <c r="E118" s="31"/>
    </row>
    <row r="119" spans="1:85" x14ac:dyDescent="0.15">
      <c r="A119" s="7"/>
      <c r="B119" s="7"/>
      <c r="C119" s="7"/>
      <c r="D119" s="31"/>
      <c r="E119" s="31"/>
    </row>
    <row r="120" spans="1:85" x14ac:dyDescent="0.15">
      <c r="A120" s="7"/>
      <c r="B120" s="7"/>
      <c r="C120" s="7"/>
      <c r="D120" s="31"/>
      <c r="E120" s="31"/>
    </row>
    <row r="121" spans="1:85" x14ac:dyDescent="0.15">
      <c r="A121" s="7"/>
      <c r="B121" s="7"/>
      <c r="C121" s="7"/>
      <c r="D121" s="31"/>
      <c r="E121" s="31"/>
    </row>
    <row r="122" spans="1:85" x14ac:dyDescent="0.15">
      <c r="A122" s="7"/>
      <c r="B122" s="7"/>
      <c r="C122" s="7"/>
      <c r="D122" s="31"/>
      <c r="E122" s="31"/>
    </row>
    <row r="123" spans="1:85" x14ac:dyDescent="0.15">
      <c r="A123" s="7"/>
      <c r="B123" s="7"/>
      <c r="C123" s="7"/>
      <c r="D123" s="31"/>
      <c r="E123" s="31"/>
    </row>
    <row r="124" spans="1:85" x14ac:dyDescent="0.15">
      <c r="A124" s="7"/>
      <c r="B124" s="7"/>
      <c r="C124" s="7"/>
      <c r="D124" s="31"/>
      <c r="E124" s="31"/>
    </row>
    <row r="125" spans="1:85" x14ac:dyDescent="0.15">
      <c r="A125" s="7"/>
      <c r="B125" s="7"/>
      <c r="C125" s="7"/>
      <c r="D125" s="31"/>
      <c r="E125" s="31"/>
    </row>
    <row r="126" spans="1:85" x14ac:dyDescent="0.15">
      <c r="A126" s="7"/>
      <c r="B126" s="7"/>
      <c r="C126" s="7"/>
      <c r="D126" s="31"/>
      <c r="E126" s="31"/>
    </row>
    <row r="127" spans="1:85" x14ac:dyDescent="0.15">
      <c r="A127" s="7"/>
      <c r="B127" s="7"/>
      <c r="C127" s="7"/>
      <c r="D127" s="31"/>
      <c r="E127" s="31"/>
    </row>
    <row r="128" spans="1:85" x14ac:dyDescent="0.15">
      <c r="A128" s="7"/>
      <c r="B128" s="7"/>
      <c r="C128" s="7"/>
      <c r="D128" s="31"/>
      <c r="E128" s="31"/>
    </row>
    <row r="129" spans="1:5" x14ac:dyDescent="0.15">
      <c r="A129" s="7"/>
      <c r="B129" s="7"/>
      <c r="C129" s="7"/>
      <c r="D129" s="31"/>
      <c r="E129" s="31"/>
    </row>
    <row r="130" spans="1:5" x14ac:dyDescent="0.15">
      <c r="A130" s="7"/>
      <c r="B130" s="7"/>
      <c r="C130" s="7"/>
      <c r="D130" s="31"/>
      <c r="E130" s="31"/>
    </row>
    <row r="131" spans="1:5" x14ac:dyDescent="0.15">
      <c r="A131" s="7"/>
      <c r="B131" s="7"/>
      <c r="C131" s="7"/>
      <c r="D131" s="31"/>
      <c r="E131" s="31"/>
    </row>
    <row r="132" spans="1:5" x14ac:dyDescent="0.15">
      <c r="A132" s="7"/>
      <c r="B132" s="7"/>
      <c r="C132" s="7"/>
      <c r="D132" s="31"/>
      <c r="E132" s="31"/>
    </row>
    <row r="133" spans="1:5" x14ac:dyDescent="0.15">
      <c r="A133" s="7"/>
      <c r="B133" s="7"/>
      <c r="C133" s="7"/>
      <c r="D133" s="31"/>
      <c r="E133" s="31"/>
    </row>
    <row r="134" spans="1:5" x14ac:dyDescent="0.15">
      <c r="A134" s="7"/>
      <c r="B134" s="7"/>
      <c r="C134" s="7"/>
      <c r="D134" s="31"/>
      <c r="E134" s="31"/>
    </row>
    <row r="135" spans="1:5" x14ac:dyDescent="0.15">
      <c r="A135" s="7"/>
      <c r="B135" s="7"/>
      <c r="C135" s="7"/>
      <c r="D135" s="31"/>
      <c r="E135" s="31"/>
    </row>
    <row r="136" spans="1:5" x14ac:dyDescent="0.15">
      <c r="A136" s="7"/>
      <c r="B136" s="7"/>
      <c r="C136" s="7"/>
      <c r="D136" s="31"/>
      <c r="E136" s="31"/>
    </row>
    <row r="137" spans="1:5" x14ac:dyDescent="0.15">
      <c r="A137" s="7"/>
      <c r="B137" s="7"/>
      <c r="C137" s="7"/>
      <c r="D137" s="31"/>
      <c r="E137" s="31"/>
    </row>
    <row r="138" spans="1:5" x14ac:dyDescent="0.15">
      <c r="A138" s="7"/>
      <c r="B138" s="7"/>
      <c r="C138" s="7"/>
      <c r="D138" s="31"/>
      <c r="E138" s="31"/>
    </row>
    <row r="139" spans="1:5" x14ac:dyDescent="0.15">
      <c r="A139" s="7"/>
      <c r="B139" s="7"/>
      <c r="C139" s="7"/>
      <c r="D139" s="31"/>
      <c r="E139" s="31"/>
    </row>
    <row r="140" spans="1:5" x14ac:dyDescent="0.15">
      <c r="A140" s="7"/>
      <c r="B140" s="7"/>
      <c r="C140" s="7"/>
      <c r="D140" s="31"/>
      <c r="E140" s="31"/>
    </row>
    <row r="141" spans="1:5" x14ac:dyDescent="0.15">
      <c r="A141" s="7"/>
      <c r="B141" s="7"/>
      <c r="C141" s="7"/>
      <c r="D141" s="31"/>
      <c r="E141" s="31"/>
    </row>
    <row r="142" spans="1:5" x14ac:dyDescent="0.15">
      <c r="A142" s="7"/>
      <c r="B142" s="7"/>
      <c r="C142" s="7"/>
      <c r="D142" s="31"/>
      <c r="E142" s="31"/>
    </row>
    <row r="143" spans="1:5" x14ac:dyDescent="0.15">
      <c r="A143" s="7"/>
      <c r="B143" s="7"/>
      <c r="C143" s="7"/>
      <c r="D143" s="31"/>
      <c r="E143" s="31"/>
    </row>
    <row r="144" spans="1:5" x14ac:dyDescent="0.15">
      <c r="A144" s="7"/>
      <c r="B144" s="7"/>
      <c r="C144" s="7"/>
      <c r="D144" s="31"/>
      <c r="E144" s="31"/>
    </row>
    <row r="145" spans="1:5" x14ac:dyDescent="0.15">
      <c r="A145" s="7"/>
      <c r="B145" s="7"/>
      <c r="C145" s="7"/>
      <c r="D145" s="31"/>
      <c r="E145" s="31"/>
    </row>
    <row r="146" spans="1:5" x14ac:dyDescent="0.15">
      <c r="A146" s="7"/>
      <c r="B146" s="7"/>
      <c r="C146" s="7"/>
      <c r="D146" s="31"/>
      <c r="E146" s="31"/>
    </row>
    <row r="147" spans="1:5" x14ac:dyDescent="0.15">
      <c r="A147" s="7"/>
      <c r="B147" s="7"/>
      <c r="C147" s="7"/>
      <c r="D147" s="31"/>
      <c r="E147" s="31"/>
    </row>
    <row r="148" spans="1:5" x14ac:dyDescent="0.15">
      <c r="A148" s="7"/>
      <c r="B148" s="7"/>
      <c r="C148" s="7"/>
      <c r="D148" s="31"/>
      <c r="E148" s="31"/>
    </row>
    <row r="149" spans="1:5" x14ac:dyDescent="0.15">
      <c r="A149" s="7"/>
      <c r="B149" s="7"/>
      <c r="C149" s="7"/>
      <c r="D149" s="31"/>
      <c r="E149" s="31"/>
    </row>
    <row r="150" spans="1:5" x14ac:dyDescent="0.15">
      <c r="A150" s="7"/>
      <c r="B150" s="7"/>
      <c r="C150" s="7"/>
      <c r="D150" s="31"/>
      <c r="E150" s="31"/>
    </row>
    <row r="151" spans="1:5" x14ac:dyDescent="0.15">
      <c r="A151" s="7"/>
      <c r="B151" s="7"/>
      <c r="C151" s="7"/>
      <c r="D151" s="31"/>
      <c r="E151" s="31"/>
    </row>
    <row r="152" spans="1:5" x14ac:dyDescent="0.15">
      <c r="A152" s="7"/>
      <c r="B152" s="7"/>
      <c r="C152" s="7"/>
      <c r="D152" s="31"/>
      <c r="E152" s="31"/>
    </row>
    <row r="153" spans="1:5" x14ac:dyDescent="0.15">
      <c r="A153" s="7"/>
      <c r="B153" s="7"/>
      <c r="C153" s="7"/>
      <c r="D153" s="31"/>
      <c r="E153" s="31"/>
    </row>
    <row r="154" spans="1:5" x14ac:dyDescent="0.15">
      <c r="A154" s="7"/>
      <c r="B154" s="7"/>
      <c r="C154" s="7"/>
      <c r="D154" s="31"/>
      <c r="E154" s="31"/>
    </row>
    <row r="155" spans="1:5" x14ac:dyDescent="0.15">
      <c r="A155" s="7"/>
      <c r="B155" s="7"/>
      <c r="C155" s="7"/>
      <c r="D155" s="31"/>
      <c r="E155" s="31"/>
    </row>
    <row r="156" spans="1:5" x14ac:dyDescent="0.15">
      <c r="A156" s="7"/>
      <c r="B156" s="7"/>
      <c r="C156" s="7"/>
      <c r="D156" s="31"/>
      <c r="E156" s="31"/>
    </row>
    <row r="157" spans="1:5" x14ac:dyDescent="0.15">
      <c r="A157" s="7"/>
      <c r="B157" s="7"/>
      <c r="C157" s="7"/>
      <c r="D157" s="31"/>
      <c r="E157" s="31"/>
    </row>
    <row r="158" spans="1:5" x14ac:dyDescent="0.15">
      <c r="A158" s="7"/>
      <c r="B158" s="7"/>
      <c r="C158" s="7"/>
      <c r="D158" s="31"/>
      <c r="E158" s="31"/>
    </row>
    <row r="159" spans="1:5" x14ac:dyDescent="0.15">
      <c r="A159" s="7"/>
      <c r="B159" s="7"/>
      <c r="C159" s="7"/>
      <c r="D159" s="31"/>
      <c r="E159" s="31"/>
    </row>
    <row r="160" spans="1:5" x14ac:dyDescent="0.15">
      <c r="A160" s="7"/>
      <c r="B160" s="7"/>
      <c r="C160" s="7"/>
      <c r="D160" s="31"/>
      <c r="E160" s="31"/>
    </row>
    <row r="161" spans="1:5" x14ac:dyDescent="0.15">
      <c r="A161" s="7"/>
      <c r="B161" s="7"/>
      <c r="C161" s="7"/>
      <c r="D161" s="31"/>
      <c r="E161" s="31"/>
    </row>
    <row r="162" spans="1:5" x14ac:dyDescent="0.15">
      <c r="A162" s="7"/>
      <c r="B162" s="7"/>
      <c r="C162" s="7"/>
      <c r="D162" s="31"/>
      <c r="E162" s="31"/>
    </row>
    <row r="163" spans="1:5" x14ac:dyDescent="0.15">
      <c r="A163" s="7"/>
      <c r="B163" s="7"/>
      <c r="C163" s="7"/>
      <c r="D163" s="31"/>
      <c r="E163" s="31"/>
    </row>
    <row r="164" spans="1:5" x14ac:dyDescent="0.15">
      <c r="A164" s="7"/>
      <c r="B164" s="7"/>
      <c r="C164" s="7"/>
      <c r="D164" s="31"/>
      <c r="E164" s="31"/>
    </row>
    <row r="165" spans="1:5" x14ac:dyDescent="0.15">
      <c r="A165" s="7"/>
      <c r="B165" s="7"/>
      <c r="C165" s="7"/>
      <c r="D165" s="31"/>
      <c r="E165" s="31"/>
    </row>
    <row r="166" spans="1:5" x14ac:dyDescent="0.15">
      <c r="A166" s="7"/>
      <c r="B166" s="7"/>
      <c r="C166" s="7"/>
      <c r="D166" s="31"/>
      <c r="E166" s="31"/>
    </row>
    <row r="167" spans="1:5" x14ac:dyDescent="0.15">
      <c r="A167" s="7"/>
      <c r="B167" s="7"/>
      <c r="C167" s="7"/>
      <c r="D167" s="31"/>
      <c r="E167" s="31"/>
    </row>
    <row r="168" spans="1:5" x14ac:dyDescent="0.15">
      <c r="A168" s="7"/>
      <c r="B168" s="7"/>
      <c r="C168" s="7"/>
      <c r="D168" s="31"/>
      <c r="E168" s="31"/>
    </row>
    <row r="169" spans="1:5" x14ac:dyDescent="0.15">
      <c r="A169" s="7"/>
      <c r="B169" s="7"/>
      <c r="C169" s="7"/>
      <c r="D169" s="31"/>
      <c r="E169" s="31"/>
    </row>
    <row r="170" spans="1:5" x14ac:dyDescent="0.15">
      <c r="A170" s="7"/>
      <c r="B170" s="7"/>
      <c r="C170" s="7"/>
      <c r="D170" s="31"/>
      <c r="E170" s="31"/>
    </row>
    <row r="171" spans="1:5" x14ac:dyDescent="0.15">
      <c r="A171" s="7"/>
      <c r="B171" s="7"/>
      <c r="C171" s="7"/>
      <c r="D171" s="31"/>
      <c r="E171" s="31"/>
    </row>
    <row r="172" spans="1:5" x14ac:dyDescent="0.15">
      <c r="A172" s="7"/>
      <c r="B172" s="7"/>
      <c r="C172" s="7"/>
      <c r="D172" s="31"/>
      <c r="E172" s="31"/>
    </row>
    <row r="173" spans="1:5" x14ac:dyDescent="0.15">
      <c r="A173" s="7"/>
      <c r="B173" s="7"/>
      <c r="C173" s="7"/>
      <c r="D173" s="31"/>
      <c r="E173" s="31"/>
    </row>
    <row r="174" spans="1:5" x14ac:dyDescent="0.15">
      <c r="A174" s="7"/>
      <c r="B174" s="7"/>
      <c r="C174" s="7"/>
      <c r="D174" s="31"/>
      <c r="E174" s="31"/>
    </row>
    <row r="175" spans="1:5" x14ac:dyDescent="0.15">
      <c r="A175" s="7"/>
      <c r="B175" s="7"/>
      <c r="C175" s="7"/>
      <c r="D175" s="31"/>
      <c r="E175" s="31"/>
    </row>
    <row r="176" spans="1:5" x14ac:dyDescent="0.15">
      <c r="A176" s="7"/>
      <c r="B176" s="7"/>
      <c r="C176" s="7"/>
      <c r="D176" s="31"/>
      <c r="E176" s="31"/>
    </row>
    <row r="177" spans="1:5" x14ac:dyDescent="0.15">
      <c r="A177" s="7"/>
      <c r="B177" s="7"/>
      <c r="C177" s="7"/>
      <c r="D177" s="31"/>
      <c r="E177" s="31"/>
    </row>
    <row r="178" spans="1:5" x14ac:dyDescent="0.15">
      <c r="A178" s="7"/>
      <c r="B178" s="7"/>
      <c r="C178" s="7"/>
      <c r="D178" s="31"/>
      <c r="E178" s="31"/>
    </row>
    <row r="179" spans="1:5" x14ac:dyDescent="0.15">
      <c r="A179" s="7"/>
      <c r="B179" s="7"/>
      <c r="C179" s="7"/>
      <c r="D179" s="31"/>
      <c r="E179" s="31"/>
    </row>
    <row r="180" spans="1:5" x14ac:dyDescent="0.15">
      <c r="A180" s="7"/>
      <c r="B180" s="7"/>
      <c r="C180" s="7"/>
      <c r="D180" s="31"/>
      <c r="E180" s="31"/>
    </row>
    <row r="181" spans="1:5" x14ac:dyDescent="0.15">
      <c r="A181" s="7"/>
      <c r="B181" s="7"/>
      <c r="C181" s="7"/>
      <c r="D181" s="31"/>
      <c r="E181" s="31"/>
    </row>
    <row r="182" spans="1:5" x14ac:dyDescent="0.15">
      <c r="A182" s="7"/>
      <c r="B182" s="7"/>
      <c r="C182" s="7"/>
      <c r="D182" s="31"/>
      <c r="E182" s="31"/>
    </row>
    <row r="183" spans="1:5" x14ac:dyDescent="0.15">
      <c r="A183" s="7"/>
      <c r="B183" s="7"/>
      <c r="C183" s="7"/>
      <c r="D183" s="31"/>
      <c r="E183" s="31"/>
    </row>
    <row r="184" spans="1:5" x14ac:dyDescent="0.15">
      <c r="A184" s="7"/>
      <c r="B184" s="7"/>
      <c r="C184" s="7"/>
      <c r="D184" s="31"/>
      <c r="E184" s="31"/>
    </row>
    <row r="185" spans="1:5" x14ac:dyDescent="0.15">
      <c r="A185" s="7"/>
      <c r="B185" s="7"/>
      <c r="C185" s="7"/>
      <c r="D185" s="31"/>
      <c r="E185" s="31"/>
    </row>
    <row r="186" spans="1:5" x14ac:dyDescent="0.15">
      <c r="A186" s="7"/>
      <c r="B186" s="7"/>
      <c r="C186" s="7"/>
      <c r="D186" s="31"/>
      <c r="E186" s="31"/>
    </row>
    <row r="187" spans="1:5" x14ac:dyDescent="0.15">
      <c r="A187" s="7"/>
      <c r="B187" s="7"/>
      <c r="C187" s="7"/>
      <c r="D187" s="31"/>
      <c r="E187" s="31"/>
    </row>
    <row r="188" spans="1:5" x14ac:dyDescent="0.15">
      <c r="A188" s="7"/>
      <c r="B188" s="7"/>
      <c r="C188" s="7"/>
      <c r="D188" s="31"/>
      <c r="E188" s="31"/>
    </row>
    <row r="189" spans="1:5" x14ac:dyDescent="0.15">
      <c r="A189" s="7"/>
      <c r="B189" s="7"/>
      <c r="C189" s="7"/>
      <c r="D189" s="31"/>
      <c r="E189" s="31"/>
    </row>
    <row r="190" spans="1:5" x14ac:dyDescent="0.15">
      <c r="A190" s="7"/>
      <c r="B190" s="7"/>
      <c r="C190" s="7"/>
      <c r="D190" s="31"/>
      <c r="E190" s="31"/>
    </row>
    <row r="191" spans="1:5" x14ac:dyDescent="0.15">
      <c r="A191" s="7"/>
      <c r="B191" s="7"/>
      <c r="C191" s="7"/>
      <c r="D191" s="31"/>
      <c r="E191" s="31"/>
    </row>
    <row r="192" spans="1:5" x14ac:dyDescent="0.15">
      <c r="A192" s="7"/>
      <c r="B192" s="7"/>
      <c r="C192" s="7"/>
      <c r="D192" s="31"/>
      <c r="E192" s="31"/>
    </row>
    <row r="193" spans="1:5" x14ac:dyDescent="0.15">
      <c r="A193" s="7"/>
      <c r="B193" s="7"/>
      <c r="C193" s="7"/>
      <c r="D193" s="31"/>
      <c r="E193" s="31"/>
    </row>
    <row r="194" spans="1:5" x14ac:dyDescent="0.15">
      <c r="A194" s="7"/>
      <c r="B194" s="7"/>
      <c r="C194" s="7"/>
      <c r="D194" s="31"/>
      <c r="E194" s="31"/>
    </row>
    <row r="195" spans="1:5" x14ac:dyDescent="0.15">
      <c r="A195" s="7"/>
      <c r="B195" s="7"/>
      <c r="C195" s="7"/>
      <c r="D195" s="31"/>
      <c r="E195" s="31"/>
    </row>
    <row r="196" spans="1:5" x14ac:dyDescent="0.15">
      <c r="A196" s="7"/>
      <c r="B196" s="7"/>
      <c r="C196" s="7"/>
      <c r="D196" s="31"/>
      <c r="E196" s="31"/>
    </row>
    <row r="197" spans="1:5" x14ac:dyDescent="0.15">
      <c r="A197" s="7"/>
      <c r="B197" s="7"/>
      <c r="C197" s="7"/>
      <c r="D197" s="31"/>
      <c r="E197" s="31"/>
    </row>
    <row r="198" spans="1:5" x14ac:dyDescent="0.15">
      <c r="A198" s="7"/>
      <c r="B198" s="7"/>
      <c r="C198" s="7"/>
      <c r="D198" s="31"/>
      <c r="E198" s="31"/>
    </row>
    <row r="199" spans="1:5" x14ac:dyDescent="0.15">
      <c r="A199" s="7"/>
      <c r="B199" s="7"/>
      <c r="C199" s="7"/>
      <c r="D199" s="31"/>
      <c r="E199" s="31"/>
    </row>
    <row r="200" spans="1:5" x14ac:dyDescent="0.15">
      <c r="A200" s="7"/>
      <c r="B200" s="7"/>
      <c r="C200" s="7"/>
      <c r="D200" s="31"/>
      <c r="E200" s="31"/>
    </row>
    <row r="201" spans="1:5" x14ac:dyDescent="0.15">
      <c r="A201" s="7"/>
      <c r="B201" s="7"/>
      <c r="C201" s="7"/>
      <c r="D201" s="31"/>
      <c r="E201" s="31"/>
    </row>
    <row r="202" spans="1:5" x14ac:dyDescent="0.15">
      <c r="A202" s="7"/>
      <c r="B202" s="7"/>
      <c r="C202" s="7"/>
      <c r="D202" s="31"/>
      <c r="E202" s="31"/>
    </row>
    <row r="203" spans="1:5" x14ac:dyDescent="0.15">
      <c r="A203" s="7"/>
      <c r="B203" s="7"/>
      <c r="C203" s="7"/>
      <c r="D203" s="31"/>
      <c r="E203" s="31"/>
    </row>
    <row r="204" spans="1:5" x14ac:dyDescent="0.15">
      <c r="A204" s="7"/>
      <c r="B204" s="7"/>
      <c r="C204" s="7"/>
      <c r="D204" s="31"/>
      <c r="E204" s="31"/>
    </row>
    <row r="205" spans="1:5" x14ac:dyDescent="0.15">
      <c r="A205" s="7"/>
      <c r="B205" s="7"/>
      <c r="C205" s="7"/>
      <c r="D205" s="31"/>
      <c r="E205" s="31"/>
    </row>
    <row r="206" spans="1:5" x14ac:dyDescent="0.15">
      <c r="A206" s="7"/>
      <c r="B206" s="7"/>
      <c r="C206" s="7"/>
      <c r="D206" s="31"/>
      <c r="E206" s="31"/>
    </row>
    <row r="207" spans="1:5" x14ac:dyDescent="0.15">
      <c r="A207" s="7"/>
      <c r="B207" s="7"/>
      <c r="C207" s="7"/>
      <c r="D207" s="31"/>
      <c r="E207" s="31"/>
    </row>
    <row r="208" spans="1:5" x14ac:dyDescent="0.15">
      <c r="A208" s="7"/>
      <c r="B208" s="7"/>
      <c r="C208" s="7"/>
      <c r="D208" s="31"/>
      <c r="E208" s="31"/>
    </row>
    <row r="209" spans="1:5" x14ac:dyDescent="0.15">
      <c r="A209" s="7"/>
      <c r="B209" s="7"/>
      <c r="C209" s="7"/>
      <c r="D209" s="31"/>
      <c r="E209" s="31"/>
    </row>
    <row r="210" spans="1:5" x14ac:dyDescent="0.15">
      <c r="A210" s="7"/>
      <c r="B210" s="7"/>
      <c r="C210" s="7"/>
      <c r="D210" s="31"/>
      <c r="E210" s="31"/>
    </row>
    <row r="211" spans="1:5" x14ac:dyDescent="0.15">
      <c r="A211" s="7"/>
      <c r="B211" s="7"/>
      <c r="C211" s="7"/>
      <c r="D211" s="31"/>
      <c r="E211" s="31"/>
    </row>
    <row r="212" spans="1:5" x14ac:dyDescent="0.15">
      <c r="A212" s="7"/>
      <c r="B212" s="7"/>
      <c r="C212" s="7"/>
      <c r="D212" s="31"/>
      <c r="E212" s="31"/>
    </row>
    <row r="213" spans="1:5" x14ac:dyDescent="0.15">
      <c r="A213" s="7"/>
      <c r="B213" s="7"/>
      <c r="C213" s="7"/>
      <c r="D213" s="31"/>
      <c r="E213" s="31"/>
    </row>
    <row r="214" spans="1:5" x14ac:dyDescent="0.15">
      <c r="A214" s="7"/>
      <c r="B214" s="7"/>
      <c r="C214" s="7"/>
      <c r="D214" s="31"/>
      <c r="E214" s="31"/>
    </row>
    <row r="215" spans="1:5" x14ac:dyDescent="0.15">
      <c r="A215" s="7"/>
      <c r="B215" s="7"/>
      <c r="C215" s="7"/>
      <c r="D215" s="31"/>
      <c r="E215" s="31"/>
    </row>
    <row r="216" spans="1:5" x14ac:dyDescent="0.15">
      <c r="A216" s="7"/>
      <c r="B216" s="7"/>
      <c r="C216" s="7"/>
      <c r="D216" s="31"/>
      <c r="E216" s="31"/>
    </row>
    <row r="217" spans="1:5" x14ac:dyDescent="0.15">
      <c r="A217" s="7"/>
      <c r="B217" s="7"/>
      <c r="C217" s="7"/>
      <c r="D217" s="31"/>
      <c r="E217" s="31"/>
    </row>
    <row r="218" spans="1:5" x14ac:dyDescent="0.15">
      <c r="A218" s="7"/>
      <c r="B218" s="7"/>
      <c r="C218" s="7"/>
      <c r="D218" s="31"/>
      <c r="E218" s="31"/>
    </row>
    <row r="219" spans="1:5" x14ac:dyDescent="0.15">
      <c r="A219" s="7"/>
      <c r="B219" s="7"/>
      <c r="C219" s="7"/>
      <c r="D219" s="31"/>
      <c r="E219" s="31"/>
    </row>
    <row r="220" spans="1:5" x14ac:dyDescent="0.15">
      <c r="A220" s="7"/>
      <c r="B220" s="7"/>
      <c r="C220" s="7"/>
      <c r="D220" s="31"/>
      <c r="E220" s="31"/>
    </row>
    <row r="221" spans="1:5" x14ac:dyDescent="0.15">
      <c r="A221" s="7"/>
      <c r="B221" s="7"/>
      <c r="C221" s="7"/>
      <c r="D221" s="31"/>
      <c r="E221" s="31"/>
    </row>
    <row r="222" spans="1:5" x14ac:dyDescent="0.15">
      <c r="A222" s="7"/>
      <c r="B222" s="7"/>
      <c r="C222" s="7"/>
      <c r="D222" s="31"/>
      <c r="E222" s="31"/>
    </row>
    <row r="223" spans="1:5" x14ac:dyDescent="0.15">
      <c r="A223" s="7"/>
      <c r="B223" s="7"/>
      <c r="C223" s="7"/>
      <c r="D223" s="31"/>
      <c r="E223" s="31"/>
    </row>
    <row r="224" spans="1:5" x14ac:dyDescent="0.15">
      <c r="A224" s="7"/>
      <c r="B224" s="7"/>
      <c r="C224" s="7"/>
      <c r="D224" s="31"/>
      <c r="E224" s="31"/>
    </row>
    <row r="225" spans="1:5" x14ac:dyDescent="0.15">
      <c r="A225" s="7"/>
      <c r="B225" s="7"/>
      <c r="C225" s="7"/>
      <c r="D225" s="31"/>
      <c r="E225" s="31"/>
    </row>
    <row r="226" spans="1:5" x14ac:dyDescent="0.15">
      <c r="A226" s="7"/>
      <c r="B226" s="7"/>
      <c r="C226" s="7"/>
      <c r="D226" s="31"/>
      <c r="E226" s="31"/>
    </row>
    <row r="227" spans="1:5" x14ac:dyDescent="0.15">
      <c r="A227" s="7"/>
      <c r="B227" s="7"/>
      <c r="C227" s="7"/>
      <c r="D227" s="31"/>
      <c r="E227" s="31"/>
    </row>
    <row r="228" spans="1:5" x14ac:dyDescent="0.15">
      <c r="A228" s="7"/>
      <c r="B228" s="7"/>
      <c r="C228" s="7"/>
      <c r="D228" s="31"/>
      <c r="E228" s="31"/>
    </row>
    <row r="229" spans="1:5" x14ac:dyDescent="0.15">
      <c r="A229" s="7"/>
      <c r="B229" s="7"/>
      <c r="C229" s="7"/>
      <c r="D229" s="31"/>
      <c r="E229" s="31"/>
    </row>
    <row r="230" spans="1:5" x14ac:dyDescent="0.15">
      <c r="A230" s="7"/>
      <c r="B230" s="7"/>
      <c r="C230" s="7"/>
      <c r="D230" s="31"/>
      <c r="E230" s="31"/>
    </row>
    <row r="231" spans="1:5" x14ac:dyDescent="0.15">
      <c r="A231" s="7"/>
      <c r="B231" s="7"/>
      <c r="C231" s="7"/>
      <c r="D231" s="31"/>
      <c r="E231" s="31"/>
    </row>
    <row r="232" spans="1:5" x14ac:dyDescent="0.15">
      <c r="A232" s="7"/>
      <c r="B232" s="7"/>
      <c r="C232" s="7"/>
      <c r="D232" s="31"/>
      <c r="E232" s="31"/>
    </row>
    <row r="233" spans="1:5" x14ac:dyDescent="0.15">
      <c r="A233" s="7"/>
      <c r="B233" s="7"/>
      <c r="C233" s="7"/>
      <c r="D233" s="31"/>
      <c r="E233" s="31"/>
    </row>
    <row r="234" spans="1:5" x14ac:dyDescent="0.15">
      <c r="A234" s="7"/>
      <c r="B234" s="7"/>
      <c r="C234" s="7"/>
      <c r="D234" s="31"/>
      <c r="E234" s="31"/>
    </row>
    <row r="235" spans="1:5" x14ac:dyDescent="0.15">
      <c r="A235" s="7"/>
      <c r="B235" s="7"/>
      <c r="C235" s="7"/>
      <c r="D235" s="31"/>
      <c r="E235" s="31"/>
    </row>
    <row r="236" spans="1:5" x14ac:dyDescent="0.15">
      <c r="A236" s="7"/>
      <c r="B236" s="7"/>
      <c r="C236" s="7"/>
      <c r="D236" s="31"/>
      <c r="E236" s="31"/>
    </row>
    <row r="237" spans="1:5" x14ac:dyDescent="0.15">
      <c r="A237" s="7"/>
      <c r="B237" s="7"/>
      <c r="C237" s="7"/>
      <c r="D237" s="31"/>
      <c r="E237" s="31"/>
    </row>
    <row r="238" spans="1:5" x14ac:dyDescent="0.15">
      <c r="A238" s="7"/>
      <c r="B238" s="7"/>
      <c r="C238" s="7"/>
      <c r="D238" s="31"/>
      <c r="E238" s="31"/>
    </row>
    <row r="239" spans="1:5" x14ac:dyDescent="0.15">
      <c r="A239" s="7"/>
      <c r="B239" s="7"/>
      <c r="C239" s="7"/>
      <c r="D239" s="31"/>
      <c r="E239" s="31"/>
    </row>
    <row r="240" spans="1:5" x14ac:dyDescent="0.15">
      <c r="A240" s="7"/>
      <c r="B240" s="7"/>
      <c r="C240" s="7"/>
      <c r="D240" s="31"/>
      <c r="E240" s="31"/>
    </row>
    <row r="241" spans="1:5" x14ac:dyDescent="0.15">
      <c r="A241" s="7"/>
      <c r="B241" s="7"/>
      <c r="C241" s="7"/>
      <c r="D241" s="31"/>
      <c r="E241" s="31"/>
    </row>
    <row r="242" spans="1:5" x14ac:dyDescent="0.15">
      <c r="A242" s="7"/>
      <c r="B242" s="7"/>
      <c r="C242" s="7"/>
      <c r="D242" s="31"/>
      <c r="E242" s="31"/>
    </row>
    <row r="243" spans="1:5" x14ac:dyDescent="0.15">
      <c r="A243" s="7"/>
      <c r="B243" s="7"/>
      <c r="C243" s="7"/>
      <c r="D243" s="31"/>
      <c r="E243" s="31"/>
    </row>
    <row r="244" spans="1:5" x14ac:dyDescent="0.15">
      <c r="A244" s="7"/>
      <c r="B244" s="7"/>
      <c r="C244" s="7"/>
      <c r="D244" s="31"/>
      <c r="E244" s="31"/>
    </row>
    <row r="245" spans="1:5" x14ac:dyDescent="0.15">
      <c r="A245" s="7"/>
      <c r="B245" s="7"/>
      <c r="C245" s="7"/>
      <c r="D245" s="31"/>
      <c r="E245" s="31"/>
    </row>
    <row r="246" spans="1:5" x14ac:dyDescent="0.15">
      <c r="A246" s="7"/>
      <c r="B246" s="7"/>
      <c r="C246" s="7"/>
      <c r="D246" s="31"/>
      <c r="E246" s="31"/>
    </row>
    <row r="247" spans="1:5" x14ac:dyDescent="0.15">
      <c r="A247" s="7"/>
      <c r="B247" s="7"/>
      <c r="C247" s="7"/>
      <c r="D247" s="31"/>
      <c r="E247" s="31"/>
    </row>
    <row r="248" spans="1:5" x14ac:dyDescent="0.15">
      <c r="A248" s="7"/>
      <c r="B248" s="7"/>
      <c r="C248" s="7"/>
      <c r="D248" s="31"/>
      <c r="E248" s="31"/>
    </row>
    <row r="249" spans="1:5" x14ac:dyDescent="0.15">
      <c r="A249" s="7"/>
      <c r="B249" s="7"/>
      <c r="C249" s="7"/>
      <c r="D249" s="31"/>
      <c r="E249" s="31"/>
    </row>
    <row r="250" spans="1:5" x14ac:dyDescent="0.15">
      <c r="A250" s="7"/>
      <c r="B250" s="7"/>
      <c r="C250" s="7"/>
      <c r="D250" s="31"/>
      <c r="E250" s="31"/>
    </row>
    <row r="251" spans="1:5" x14ac:dyDescent="0.15">
      <c r="A251" s="7"/>
      <c r="B251" s="7"/>
      <c r="C251" s="7"/>
      <c r="D251" s="31"/>
      <c r="E251" s="31"/>
    </row>
    <row r="252" spans="1:5" x14ac:dyDescent="0.15">
      <c r="A252" s="7"/>
      <c r="B252" s="7"/>
      <c r="C252" s="7"/>
      <c r="D252" s="31"/>
      <c r="E252" s="31"/>
    </row>
    <row r="253" spans="1:5" x14ac:dyDescent="0.15">
      <c r="A253" s="7"/>
      <c r="B253" s="7"/>
      <c r="C253" s="7"/>
      <c r="D253" s="31"/>
      <c r="E253" s="31"/>
    </row>
    <row r="254" spans="1:5" x14ac:dyDescent="0.15">
      <c r="A254" s="7"/>
      <c r="B254" s="7"/>
      <c r="C254" s="7"/>
      <c r="D254" s="31"/>
      <c r="E254" s="31"/>
    </row>
    <row r="255" spans="1:5" x14ac:dyDescent="0.15">
      <c r="A255" s="7"/>
      <c r="B255" s="7"/>
      <c r="C255" s="7"/>
      <c r="D255" s="31"/>
      <c r="E255" s="31"/>
    </row>
    <row r="256" spans="1:5" x14ac:dyDescent="0.15">
      <c r="A256" s="7"/>
      <c r="B256" s="7"/>
      <c r="C256" s="7"/>
      <c r="D256" s="31"/>
      <c r="E256" s="31"/>
    </row>
    <row r="257" spans="1:5" x14ac:dyDescent="0.15">
      <c r="A257" s="7"/>
      <c r="B257" s="7"/>
      <c r="C257" s="7"/>
      <c r="D257" s="31"/>
      <c r="E257" s="31"/>
    </row>
    <row r="258" spans="1:5" x14ac:dyDescent="0.15">
      <c r="A258" s="7"/>
      <c r="B258" s="7"/>
      <c r="C258" s="7"/>
      <c r="D258" s="31"/>
      <c r="E258" s="31"/>
    </row>
    <row r="259" spans="1:5" x14ac:dyDescent="0.15">
      <c r="A259" s="7"/>
      <c r="B259" s="7"/>
      <c r="C259" s="7"/>
      <c r="D259" s="31"/>
      <c r="E259" s="31"/>
    </row>
    <row r="260" spans="1:5" x14ac:dyDescent="0.15">
      <c r="A260" s="7"/>
      <c r="B260" s="7"/>
      <c r="C260" s="7"/>
      <c r="D260" s="31"/>
      <c r="E260" s="31"/>
    </row>
    <row r="261" spans="1:5" x14ac:dyDescent="0.15">
      <c r="A261" s="7"/>
      <c r="B261" s="7"/>
      <c r="C261" s="7"/>
      <c r="D261" s="31"/>
      <c r="E261" s="31"/>
    </row>
    <row r="262" spans="1:5" x14ac:dyDescent="0.15">
      <c r="A262" s="7"/>
      <c r="B262" s="7"/>
      <c r="C262" s="7"/>
      <c r="D262" s="31"/>
      <c r="E262" s="31"/>
    </row>
    <row r="263" spans="1:5" x14ac:dyDescent="0.15">
      <c r="A263" s="7"/>
      <c r="B263" s="7"/>
      <c r="C263" s="7"/>
      <c r="D263" s="31"/>
      <c r="E263" s="31"/>
    </row>
    <row r="264" spans="1:5" x14ac:dyDescent="0.15">
      <c r="A264" s="7"/>
      <c r="B264" s="7"/>
      <c r="C264" s="7"/>
      <c r="D264" s="31"/>
      <c r="E264" s="31"/>
    </row>
    <row r="265" spans="1:5" x14ac:dyDescent="0.15">
      <c r="A265" s="7"/>
      <c r="B265" s="7"/>
      <c r="C265" s="7"/>
      <c r="D265" s="31"/>
      <c r="E265" s="31"/>
    </row>
    <row r="266" spans="1:5" x14ac:dyDescent="0.15">
      <c r="A266" s="7"/>
      <c r="B266" s="7"/>
      <c r="C266" s="7"/>
      <c r="D266" s="31"/>
      <c r="E266" s="31"/>
    </row>
    <row r="267" spans="1:5" x14ac:dyDescent="0.15">
      <c r="A267" s="7"/>
      <c r="B267" s="7"/>
      <c r="C267" s="7"/>
      <c r="D267" s="31"/>
      <c r="E267" s="31"/>
    </row>
    <row r="268" spans="1:5" x14ac:dyDescent="0.15">
      <c r="A268" s="7"/>
      <c r="B268" s="7"/>
      <c r="C268" s="7"/>
      <c r="D268" s="31"/>
      <c r="E268" s="31"/>
    </row>
    <row r="269" spans="1:5" x14ac:dyDescent="0.15">
      <c r="A269" s="7"/>
      <c r="B269" s="7"/>
      <c r="C269" s="7"/>
      <c r="D269" s="31"/>
      <c r="E269" s="31"/>
    </row>
    <row r="270" spans="1:5" x14ac:dyDescent="0.15">
      <c r="A270" s="7"/>
      <c r="B270" s="7"/>
      <c r="C270" s="7"/>
      <c r="D270" s="31"/>
      <c r="E270" s="31"/>
    </row>
    <row r="271" spans="1:5" x14ac:dyDescent="0.15">
      <c r="A271" s="7"/>
      <c r="B271" s="7"/>
      <c r="C271" s="7"/>
      <c r="D271" s="31"/>
      <c r="E271" s="31"/>
    </row>
    <row r="272" spans="1:5" x14ac:dyDescent="0.15">
      <c r="A272" s="7"/>
      <c r="B272" s="7"/>
      <c r="C272" s="7"/>
      <c r="D272" s="31"/>
      <c r="E272" s="31"/>
    </row>
    <row r="273" spans="1:5" x14ac:dyDescent="0.15">
      <c r="A273" s="7"/>
      <c r="B273" s="7"/>
      <c r="C273" s="7"/>
      <c r="D273" s="31"/>
      <c r="E273" s="31"/>
    </row>
    <row r="274" spans="1:5" x14ac:dyDescent="0.15">
      <c r="A274" s="7"/>
      <c r="B274" s="7"/>
      <c r="C274" s="7"/>
      <c r="D274" s="31"/>
      <c r="E274" s="31"/>
    </row>
    <row r="275" spans="1:5" x14ac:dyDescent="0.15">
      <c r="A275" s="7"/>
      <c r="B275" s="7"/>
      <c r="C275" s="7"/>
      <c r="D275" s="31"/>
      <c r="E275" s="31"/>
    </row>
    <row r="276" spans="1:5" x14ac:dyDescent="0.15">
      <c r="A276" s="7"/>
      <c r="B276" s="7"/>
      <c r="C276" s="7"/>
      <c r="D276" s="31"/>
      <c r="E276" s="31"/>
    </row>
    <row r="277" spans="1:5" x14ac:dyDescent="0.15">
      <c r="A277" s="7"/>
      <c r="B277" s="7"/>
      <c r="C277" s="7"/>
      <c r="D277" s="31"/>
      <c r="E277" s="31"/>
    </row>
    <row r="278" spans="1:5" x14ac:dyDescent="0.15">
      <c r="A278" s="7"/>
      <c r="B278" s="7"/>
      <c r="C278" s="7"/>
      <c r="D278" s="31"/>
      <c r="E278" s="31"/>
    </row>
    <row r="279" spans="1:5" x14ac:dyDescent="0.15">
      <c r="A279" s="7"/>
      <c r="B279" s="7"/>
      <c r="C279" s="7"/>
      <c r="D279" s="31"/>
      <c r="E279" s="31"/>
    </row>
    <row r="280" spans="1:5" x14ac:dyDescent="0.15">
      <c r="A280" s="7"/>
      <c r="B280" s="7"/>
      <c r="C280" s="7"/>
      <c r="D280" s="31"/>
      <c r="E280" s="31"/>
    </row>
    <row r="281" spans="1:5" x14ac:dyDescent="0.15">
      <c r="A281" s="7"/>
      <c r="B281" s="7"/>
      <c r="C281" s="7"/>
      <c r="D281" s="31"/>
      <c r="E281" s="31"/>
    </row>
    <row r="282" spans="1:5" x14ac:dyDescent="0.15">
      <c r="A282" s="7"/>
      <c r="B282" s="7"/>
      <c r="C282" s="7"/>
      <c r="D282" s="31"/>
      <c r="E282" s="31"/>
    </row>
    <row r="283" spans="1:5" x14ac:dyDescent="0.15">
      <c r="A283" s="7"/>
      <c r="B283" s="7"/>
      <c r="C283" s="7"/>
      <c r="D283" s="31"/>
      <c r="E283" s="31"/>
    </row>
    <row r="284" spans="1:5" x14ac:dyDescent="0.15">
      <c r="A284" s="7"/>
      <c r="B284" s="7"/>
      <c r="C284" s="7"/>
      <c r="D284" s="31"/>
      <c r="E284" s="31"/>
    </row>
    <row r="285" spans="1:5" x14ac:dyDescent="0.15">
      <c r="A285" s="7"/>
      <c r="B285" s="7"/>
      <c r="C285" s="7"/>
      <c r="D285" s="31"/>
      <c r="E285" s="31"/>
    </row>
    <row r="286" spans="1:5" x14ac:dyDescent="0.15">
      <c r="A286" s="7"/>
      <c r="B286" s="7"/>
      <c r="C286" s="7"/>
      <c r="D286" s="31"/>
      <c r="E286" s="31"/>
    </row>
    <row r="287" spans="1:5" x14ac:dyDescent="0.15">
      <c r="A287" s="7"/>
      <c r="B287" s="7"/>
      <c r="C287" s="7"/>
      <c r="D287" s="31"/>
      <c r="E287" s="31"/>
    </row>
    <row r="288" spans="1:5" x14ac:dyDescent="0.15">
      <c r="A288" s="7"/>
      <c r="B288" s="7"/>
      <c r="C288" s="7"/>
      <c r="D288" s="31"/>
      <c r="E288" s="31"/>
    </row>
    <row r="289" spans="1:5" x14ac:dyDescent="0.15">
      <c r="A289" s="7"/>
      <c r="B289" s="7"/>
      <c r="C289" s="7"/>
      <c r="D289" s="31"/>
      <c r="E289" s="31"/>
    </row>
    <row r="290" spans="1:5" x14ac:dyDescent="0.15">
      <c r="A290" s="7"/>
      <c r="B290" s="7"/>
      <c r="C290" s="7"/>
      <c r="D290" s="31"/>
      <c r="E290" s="31"/>
    </row>
    <row r="291" spans="1:5" x14ac:dyDescent="0.15">
      <c r="A291" s="7"/>
      <c r="B291" s="7"/>
      <c r="C291" s="7"/>
      <c r="D291" s="31"/>
      <c r="E291" s="31"/>
    </row>
    <row r="292" spans="1:5" x14ac:dyDescent="0.15">
      <c r="A292" s="7"/>
      <c r="B292" s="7"/>
      <c r="C292" s="7"/>
      <c r="D292" s="31"/>
      <c r="E292" s="31"/>
    </row>
    <row r="293" spans="1:5" x14ac:dyDescent="0.15">
      <c r="A293" s="7"/>
      <c r="B293" s="7"/>
      <c r="C293" s="7"/>
      <c r="D293" s="31"/>
      <c r="E293" s="31"/>
    </row>
    <row r="294" spans="1:5" x14ac:dyDescent="0.15">
      <c r="A294" s="7"/>
      <c r="B294" s="7"/>
      <c r="C294" s="7"/>
      <c r="D294" s="31"/>
      <c r="E294" s="31"/>
    </row>
    <row r="295" spans="1:5" x14ac:dyDescent="0.15">
      <c r="A295" s="7"/>
      <c r="B295" s="7"/>
      <c r="C295" s="7"/>
      <c r="D295" s="31"/>
      <c r="E295" s="31"/>
    </row>
    <row r="296" spans="1:5" x14ac:dyDescent="0.15">
      <c r="A296" s="7"/>
      <c r="B296" s="7"/>
      <c r="C296" s="7"/>
      <c r="D296" s="31"/>
      <c r="E296" s="31"/>
    </row>
    <row r="297" spans="1:5" x14ac:dyDescent="0.15">
      <c r="A297" s="7"/>
      <c r="B297" s="7"/>
      <c r="C297" s="7"/>
      <c r="D297" s="31"/>
      <c r="E297" s="31"/>
    </row>
    <row r="298" spans="1:5" x14ac:dyDescent="0.15">
      <c r="A298" s="7"/>
      <c r="B298" s="7"/>
      <c r="C298" s="7"/>
      <c r="D298" s="31"/>
      <c r="E298" s="31"/>
    </row>
    <row r="299" spans="1:5" x14ac:dyDescent="0.15">
      <c r="A299" s="7"/>
      <c r="B299" s="7"/>
      <c r="C299" s="7"/>
      <c r="D299" s="31"/>
      <c r="E299" s="31"/>
    </row>
    <row r="300" spans="1:5" x14ac:dyDescent="0.15">
      <c r="A300" s="7"/>
      <c r="B300" s="7"/>
      <c r="C300" s="7"/>
      <c r="D300" s="31"/>
      <c r="E300" s="31"/>
    </row>
    <row r="301" spans="1:5" x14ac:dyDescent="0.15">
      <c r="A301" s="7"/>
      <c r="B301" s="7"/>
      <c r="C301" s="7"/>
      <c r="D301" s="31"/>
      <c r="E301" s="31"/>
    </row>
    <row r="302" spans="1:5" x14ac:dyDescent="0.15">
      <c r="A302" s="7"/>
      <c r="B302" s="7"/>
      <c r="C302" s="7"/>
      <c r="D302" s="31"/>
      <c r="E302" s="31"/>
    </row>
    <row r="303" spans="1:5" x14ac:dyDescent="0.15">
      <c r="A303" s="7"/>
      <c r="B303" s="7"/>
      <c r="C303" s="7"/>
      <c r="D303" s="31"/>
      <c r="E303" s="31"/>
    </row>
    <row r="304" spans="1:5" x14ac:dyDescent="0.15">
      <c r="A304" s="7"/>
      <c r="B304" s="7"/>
      <c r="C304" s="7"/>
      <c r="D304" s="31"/>
      <c r="E304" s="31"/>
    </row>
    <row r="305" spans="1:5" x14ac:dyDescent="0.15">
      <c r="A305" s="7"/>
      <c r="B305" s="7"/>
      <c r="C305" s="7"/>
      <c r="D305" s="31"/>
      <c r="E305" s="31"/>
    </row>
    <row r="306" spans="1:5" x14ac:dyDescent="0.15">
      <c r="A306" s="7"/>
      <c r="B306" s="7"/>
      <c r="C306" s="7"/>
      <c r="D306" s="31"/>
      <c r="E306" s="31"/>
    </row>
    <row r="307" spans="1:5" x14ac:dyDescent="0.15">
      <c r="A307" s="7"/>
      <c r="B307" s="7"/>
      <c r="C307" s="7"/>
      <c r="D307" s="31"/>
      <c r="E307" s="31"/>
    </row>
    <row r="308" spans="1:5" x14ac:dyDescent="0.15">
      <c r="A308" s="7"/>
      <c r="B308" s="7"/>
      <c r="C308" s="7"/>
      <c r="D308" s="31"/>
      <c r="E308" s="31"/>
    </row>
    <row r="309" spans="1:5" x14ac:dyDescent="0.15">
      <c r="A309" s="7"/>
      <c r="B309" s="7"/>
      <c r="C309" s="7"/>
      <c r="D309" s="31"/>
      <c r="E309" s="31"/>
    </row>
    <row r="310" spans="1:5" x14ac:dyDescent="0.15">
      <c r="A310" s="7"/>
      <c r="B310" s="7"/>
      <c r="C310" s="7"/>
      <c r="D310" s="31"/>
      <c r="E310" s="31"/>
    </row>
  </sheetData>
  <mergeCells count="2">
    <mergeCell ref="F22:G22"/>
    <mergeCell ref="H22:J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use</vt:lpstr>
      <vt:lpstr>multi-grain U log-mean clc</vt:lpstr>
      <vt:lpstr>pseudo-EDM age calc for AFT</vt:lpstr>
      <vt:lpstr>pseudo-EDM age calc for ZFT</vt:lpstr>
    </vt:vector>
  </TitlesOfParts>
  <Company>Imperial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Callum Leighton</dc:creator>
  <cp:lastModifiedBy>Yuntao Tian</cp:lastModifiedBy>
  <cp:lastPrinted>2005-08-11T16:17:43Z</cp:lastPrinted>
  <dcterms:created xsi:type="dcterms:W3CDTF">2005-01-27T17:12:33Z</dcterms:created>
  <dcterms:modified xsi:type="dcterms:W3CDTF">2026-05-09T11:19:48Z</dcterms:modified>
</cp:coreProperties>
</file>